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pivotCache/pivotCacheDefinition2.xml" ContentType="application/vnd.openxmlformats-officedocument.spreadsheetml.pivotCacheDefinition+xml"/>
  <Override PartName="/xl/pivotCache/richPivotRecords2.xml" ContentType="application/vnd.openxmlformats-officedocument.spreadsheetml.richPivot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feder\Downloads\"/>
    </mc:Choice>
  </mc:AlternateContent>
  <xr:revisionPtr revIDLastSave="0" documentId="8_{D608C788-1792-44FB-9875-889539036B37}" xr6:coauthVersionLast="47" xr6:coauthVersionMax="47" xr10:uidLastSave="{00000000-0000-0000-0000-000000000000}"/>
  <bookViews>
    <workbookView xWindow="-108" yWindow="-108" windowWidth="23256" windowHeight="13176" activeTab="1" xr2:uid="{D1FC2354-1431-294E-9D05-A71CF1B59C9B}"/>
  </bookViews>
  <sheets>
    <sheet name="Foglio1" sheetId="5" r:id="rId1"/>
    <sheet name="Foglio2" sheetId="6" r:id="rId2"/>
    <sheet name="Raw" sheetId="1" r:id="rId3"/>
    <sheet name="Clean" sheetId="4" r:id="rId4"/>
    <sheet name="Analysis" sheetId="2" r:id="rId5"/>
    <sheet name="Findings" sheetId="3" r:id="rId6"/>
  </sheets>
  <definedNames>
    <definedName name="_xlcn.WorksheetConnection_StartDataAnalysis.xlsxTabella2" hidden="1">Tabella2[]</definedName>
    <definedName name="_xlcn.WorksheetConnection_StartDataAnalysis.xlsxTabella3" hidden="1">Tabella3[]</definedName>
  </definedNames>
  <calcPr calcId="191029"/>
  <pivotCaches>
    <pivotCache cacheId="0" r:id="rId7"/>
    <pivotCache cacheId="1" r:id="rId8"/>
    <pivotCache cacheId="2"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ella3" name="Tabella3" connection="WorksheetConnection_Start-Data-Analysis.xlsx!Tabella3"/>
          <x15:modelTable id="Tabella2" name="Tabella2" connection="WorksheetConnection_Start-Data-Analysis.xlsx!Tabella2"/>
        </x15:modelTables>
        <x15:extLst>
          <ext xmlns:x16="http://schemas.microsoft.com/office/spreadsheetml/2014/11/main" uri="{9835A34E-60A6-4A7C-AAB8-D5F71C897F49}">
            <x16:modelTimeGroupings>
              <x16:modelTimeGrouping tableName="Tabella3" columnName="Date" columnId="Date">
                <x16:calculatedTimeColumn columnName="Date (indice mese)" columnId="Date (indice mese)" contentType="monthsindex" isSelected="1"/>
                <x16:calculatedTimeColumn columnName="Date (mese)" columnId="Date (mese)"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3" l="1"/>
  <c r="C13" i="3"/>
  <c r="C12" i="3"/>
  <c r="C11" i="3"/>
  <c r="C10" i="3"/>
  <c r="C9" i="3"/>
  <c r="C6" i="3"/>
  <c r="C5" i="3"/>
  <c r="M256" i="4"/>
  <c r="I256" i="4"/>
  <c r="I256" i="4" a="1"/>
  <c r="M255" i="4"/>
  <c r="I255" i="4"/>
  <c r="I255" i="4" a="1"/>
  <c r="M254" i="4"/>
  <c r="I254" i="4"/>
  <c r="I254" i="4" a="1"/>
  <c r="M253" i="4"/>
  <c r="I253" i="4"/>
  <c r="I253" i="4" a="1"/>
  <c r="M252" i="4"/>
  <c r="I252" i="4"/>
  <c r="I252" i="4" a="1"/>
  <c r="M251" i="4"/>
  <c r="I251" i="4"/>
  <c r="I251" i="4" a="1"/>
  <c r="M250" i="4"/>
  <c r="I250" i="4"/>
  <c r="I250" i="4" a="1"/>
  <c r="M249" i="4"/>
  <c r="I249" i="4"/>
  <c r="I249" i="4" a="1"/>
  <c r="M248" i="4"/>
  <c r="I248" i="4"/>
  <c r="I248" i="4" a="1"/>
  <c r="M247" i="4"/>
  <c r="I247" i="4"/>
  <c r="I247" i="4" a="1"/>
  <c r="M246" i="4"/>
  <c r="I246" i="4"/>
  <c r="I246" i="4" a="1"/>
  <c r="M245" i="4"/>
  <c r="I245" i="4"/>
  <c r="I245" i="4" a="1"/>
  <c r="M244" i="4"/>
  <c r="I244" i="4"/>
  <c r="I244" i="4" a="1"/>
  <c r="M243" i="4"/>
  <c r="I243" i="4"/>
  <c r="I243" i="4" a="1"/>
  <c r="M242" i="4"/>
  <c r="I242" i="4"/>
  <c r="I242" i="4" a="1"/>
  <c r="M241" i="4"/>
  <c r="I241" i="4"/>
  <c r="I241" i="4" a="1"/>
  <c r="M240" i="4"/>
  <c r="I240" i="4"/>
  <c r="I240" i="4" a="1"/>
  <c r="M239" i="4"/>
  <c r="I239" i="4"/>
  <c r="I239" i="4" a="1"/>
  <c r="M238" i="4"/>
  <c r="I238" i="4"/>
  <c r="I238" i="4" a="1"/>
  <c r="M237" i="4"/>
  <c r="I237" i="4"/>
  <c r="I237" i="4" a="1"/>
  <c r="M236" i="4"/>
  <c r="I236" i="4"/>
  <c r="I236" i="4" a="1"/>
  <c r="M235" i="4"/>
  <c r="I235" i="4"/>
  <c r="I235" i="4" a="1"/>
  <c r="M234" i="4"/>
  <c r="I234" i="4"/>
  <c r="I234" i="4" a="1"/>
  <c r="M233" i="4"/>
  <c r="I233" i="4"/>
  <c r="I233" i="4" a="1"/>
  <c r="M232" i="4"/>
  <c r="I232" i="4"/>
  <c r="I232" i="4" a="1"/>
  <c r="M231" i="4"/>
  <c r="I231" i="4"/>
  <c r="I231" i="4" a="1"/>
  <c r="M230" i="4"/>
  <c r="I230" i="4"/>
  <c r="I230" i="4" a="1"/>
  <c r="M229" i="4"/>
  <c r="I229" i="4"/>
  <c r="I229" i="4" a="1"/>
  <c r="M228" i="4"/>
  <c r="I228" i="4"/>
  <c r="I228" i="4" a="1"/>
  <c r="M227" i="4"/>
  <c r="I227" i="4"/>
  <c r="I227" i="4" a="1"/>
  <c r="M226" i="4"/>
  <c r="I226" i="4"/>
  <c r="I226" i="4" a="1"/>
  <c r="M225" i="4"/>
  <c r="I225" i="4"/>
  <c r="I225" i="4" a="1"/>
  <c r="M224" i="4"/>
  <c r="I224" i="4"/>
  <c r="I224" i="4" a="1"/>
  <c r="M223" i="4"/>
  <c r="I223" i="4"/>
  <c r="I223" i="4" a="1"/>
  <c r="M222" i="4"/>
  <c r="I222" i="4"/>
  <c r="I222" i="4" a="1"/>
  <c r="M221" i="4"/>
  <c r="I221" i="4"/>
  <c r="I221" i="4" a="1"/>
  <c r="M220" i="4"/>
  <c r="I220" i="4"/>
  <c r="I220" i="4" a="1"/>
  <c r="M219" i="4"/>
  <c r="I219" i="4"/>
  <c r="I219" i="4" a="1"/>
  <c r="M218" i="4"/>
  <c r="I218" i="4"/>
  <c r="I218" i="4" a="1"/>
  <c r="M217" i="4"/>
  <c r="I217" i="4"/>
  <c r="I217" i="4" a="1"/>
  <c r="M216" i="4"/>
  <c r="I216" i="4"/>
  <c r="I216" i="4" a="1"/>
  <c r="M215" i="4"/>
  <c r="I215" i="4"/>
  <c r="I215" i="4" a="1"/>
  <c r="M214" i="4"/>
  <c r="I214" i="4"/>
  <c r="I214" i="4" a="1"/>
  <c r="M213" i="4"/>
  <c r="I213" i="4"/>
  <c r="I213" i="4" a="1"/>
  <c r="M212" i="4"/>
  <c r="I212" i="4"/>
  <c r="I212" i="4" a="1"/>
  <c r="M211" i="4"/>
  <c r="I211" i="4"/>
  <c r="I211" i="4" a="1"/>
  <c r="M210" i="4"/>
  <c r="I210" i="4"/>
  <c r="I210" i="4" a="1"/>
  <c r="M209" i="4"/>
  <c r="I209" i="4"/>
  <c r="I209" i="4" a="1"/>
  <c r="M208" i="4"/>
  <c r="I208" i="4"/>
  <c r="I208" i="4" a="1"/>
  <c r="M207" i="4"/>
  <c r="I207" i="4"/>
  <c r="I207" i="4" a="1"/>
  <c r="M206" i="4"/>
  <c r="I206" i="4"/>
  <c r="I206" i="4" a="1"/>
  <c r="M205" i="4"/>
  <c r="I205" i="4"/>
  <c r="I205" i="4" a="1"/>
  <c r="M204" i="4"/>
  <c r="I204" i="4"/>
  <c r="I204" i="4" a="1"/>
  <c r="M203" i="4"/>
  <c r="I203" i="4"/>
  <c r="I203" i="4" a="1"/>
  <c r="M202" i="4"/>
  <c r="I202" i="4"/>
  <c r="I202" i="4" a="1"/>
  <c r="M201" i="4"/>
  <c r="I201" i="4"/>
  <c r="I201" i="4" a="1"/>
  <c r="M200" i="4"/>
  <c r="I200" i="4"/>
  <c r="I200" i="4" a="1"/>
  <c r="M199" i="4"/>
  <c r="I199" i="4"/>
  <c r="I199" i="4" a="1"/>
  <c r="M198" i="4"/>
  <c r="I198" i="4"/>
  <c r="I198" i="4" a="1"/>
  <c r="M197" i="4"/>
  <c r="I197" i="4"/>
  <c r="I197" i="4" a="1"/>
  <c r="M196" i="4"/>
  <c r="I196" i="4"/>
  <c r="I196" i="4" a="1"/>
  <c r="M195" i="4"/>
  <c r="I195" i="4"/>
  <c r="I195" i="4" a="1"/>
  <c r="M194" i="4"/>
  <c r="I194" i="4"/>
  <c r="I194" i="4" a="1"/>
  <c r="M193" i="4"/>
  <c r="I193" i="4"/>
  <c r="I193" i="4" a="1"/>
  <c r="M192" i="4"/>
  <c r="I192" i="4"/>
  <c r="I192" i="4" a="1"/>
  <c r="M191" i="4"/>
  <c r="I191" i="4"/>
  <c r="I191" i="4" a="1"/>
  <c r="M190" i="4"/>
  <c r="I190" i="4"/>
  <c r="I190" i="4" a="1"/>
  <c r="M189" i="4"/>
  <c r="I189" i="4"/>
  <c r="I189" i="4" a="1"/>
  <c r="M188" i="4"/>
  <c r="I188" i="4"/>
  <c r="I188" i="4" a="1"/>
  <c r="M187" i="4"/>
  <c r="I187" i="4"/>
  <c r="I187" i="4" a="1"/>
  <c r="M186" i="4"/>
  <c r="I186" i="4"/>
  <c r="I186" i="4" a="1"/>
  <c r="M185" i="4"/>
  <c r="I185" i="4"/>
  <c r="I185" i="4" a="1"/>
  <c r="M184" i="4"/>
  <c r="I184" i="4"/>
  <c r="I184" i="4" a="1"/>
  <c r="M183" i="4"/>
  <c r="I183" i="4"/>
  <c r="I183" i="4" a="1"/>
  <c r="M182" i="4"/>
  <c r="I182" i="4"/>
  <c r="I182" i="4" a="1"/>
  <c r="M181" i="4"/>
  <c r="I181" i="4"/>
  <c r="I181" i="4" a="1"/>
  <c r="M180" i="4"/>
  <c r="I180" i="4"/>
  <c r="I180" i="4" a="1"/>
  <c r="M179" i="4"/>
  <c r="I179" i="4"/>
  <c r="I179" i="4" a="1"/>
  <c r="M178" i="4"/>
  <c r="I178" i="4"/>
  <c r="I178" i="4" a="1"/>
  <c r="M177" i="4"/>
  <c r="I177" i="4"/>
  <c r="I177" i="4" a="1"/>
  <c r="M176" i="4"/>
  <c r="I176" i="4"/>
  <c r="I176" i="4" a="1"/>
  <c r="M175" i="4"/>
  <c r="I175" i="4"/>
  <c r="I175" i="4" a="1"/>
  <c r="M174" i="4"/>
  <c r="I174" i="4"/>
  <c r="I174" i="4" a="1"/>
  <c r="M173" i="4"/>
  <c r="I173" i="4"/>
  <c r="I173" i="4" a="1"/>
  <c r="M172" i="4"/>
  <c r="I172" i="4"/>
  <c r="I172" i="4" a="1"/>
  <c r="M171" i="4"/>
  <c r="I171" i="4"/>
  <c r="I171" i="4" a="1"/>
  <c r="M170" i="4"/>
  <c r="I170" i="4"/>
  <c r="I170" i="4" a="1"/>
  <c r="M169" i="4"/>
  <c r="I169" i="4"/>
  <c r="I169" i="4" a="1"/>
  <c r="M168" i="4"/>
  <c r="I168" i="4"/>
  <c r="I168" i="4" a="1"/>
  <c r="M167" i="4"/>
  <c r="I167" i="4"/>
  <c r="I167" i="4" a="1"/>
  <c r="M166" i="4"/>
  <c r="I166" i="4"/>
  <c r="I166" i="4" a="1"/>
  <c r="M165" i="4"/>
  <c r="I165" i="4"/>
  <c r="I165" i="4" a="1"/>
  <c r="M164" i="4"/>
  <c r="I164" i="4"/>
  <c r="I164" i="4" a="1"/>
  <c r="M163" i="4"/>
  <c r="I163" i="4"/>
  <c r="I163" i="4" a="1"/>
  <c r="M162" i="4"/>
  <c r="I162" i="4"/>
  <c r="I162" i="4" a="1"/>
  <c r="M161" i="4"/>
  <c r="I161" i="4"/>
  <c r="I161" i="4" a="1"/>
  <c r="M160" i="4"/>
  <c r="I160" i="4"/>
  <c r="I160" i="4" a="1"/>
  <c r="M159" i="4"/>
  <c r="I159" i="4"/>
  <c r="I159" i="4" a="1"/>
  <c r="M158" i="4"/>
  <c r="I158" i="4"/>
  <c r="I158" i="4" a="1"/>
  <c r="M157" i="4"/>
  <c r="I157" i="4"/>
  <c r="I157" i="4" a="1"/>
  <c r="M156" i="4"/>
  <c r="I156" i="4"/>
  <c r="I156" i="4" a="1"/>
  <c r="M155" i="4"/>
  <c r="I155" i="4"/>
  <c r="I155" i="4" a="1"/>
  <c r="M154" i="4"/>
  <c r="I154" i="4"/>
  <c r="I154" i="4" a="1"/>
  <c r="M153" i="4"/>
  <c r="I153" i="4"/>
  <c r="I153" i="4" a="1"/>
  <c r="M152" i="4"/>
  <c r="I152" i="4"/>
  <c r="I152" i="4" a="1"/>
  <c r="M151" i="4"/>
  <c r="I151" i="4"/>
  <c r="I151" i="4" a="1"/>
  <c r="M150" i="4"/>
  <c r="I150" i="4"/>
  <c r="I150" i="4" a="1"/>
  <c r="M149" i="4"/>
  <c r="I149" i="4"/>
  <c r="I149" i="4" a="1"/>
  <c r="M148" i="4"/>
  <c r="I148" i="4"/>
  <c r="I148" i="4" a="1"/>
  <c r="M147" i="4"/>
  <c r="I147" i="4"/>
  <c r="I147" i="4" a="1"/>
  <c r="M146" i="4"/>
  <c r="I146" i="4"/>
  <c r="I146" i="4" a="1"/>
  <c r="M145" i="4"/>
  <c r="I145" i="4"/>
  <c r="I145" i="4" a="1"/>
  <c r="M144" i="4"/>
  <c r="I144" i="4"/>
  <c r="I144" i="4" a="1"/>
  <c r="M143" i="4"/>
  <c r="I143" i="4"/>
  <c r="I143" i="4" a="1"/>
  <c r="M142" i="4"/>
  <c r="I142" i="4"/>
  <c r="I142" i="4" a="1"/>
  <c r="M141" i="4"/>
  <c r="I141" i="4"/>
  <c r="I141" i="4" a="1"/>
  <c r="M140" i="4"/>
  <c r="I140" i="4"/>
  <c r="I140" i="4" a="1"/>
  <c r="M139" i="4"/>
  <c r="I139" i="4"/>
  <c r="I139" i="4" a="1"/>
  <c r="M138" i="4"/>
  <c r="I138" i="4"/>
  <c r="I138" i="4" a="1"/>
  <c r="M137" i="4"/>
  <c r="I137" i="4"/>
  <c r="I137" i="4" a="1"/>
  <c r="M136" i="4"/>
  <c r="I136" i="4"/>
  <c r="I136" i="4" a="1"/>
  <c r="M135" i="4"/>
  <c r="I135" i="4"/>
  <c r="I135" i="4" a="1"/>
  <c r="M134" i="4"/>
  <c r="I134" i="4"/>
  <c r="I134" i="4" a="1"/>
  <c r="M133" i="4"/>
  <c r="I133" i="4"/>
  <c r="I133" i="4" a="1"/>
  <c r="M132" i="4"/>
  <c r="I132" i="4"/>
  <c r="I132" i="4" a="1"/>
  <c r="M131" i="4"/>
  <c r="I131" i="4"/>
  <c r="I131" i="4" a="1"/>
  <c r="M130" i="4"/>
  <c r="I130" i="4"/>
  <c r="I130" i="4" a="1"/>
  <c r="M129" i="4"/>
  <c r="I129" i="4"/>
  <c r="I129" i="4" a="1"/>
  <c r="M128" i="4"/>
  <c r="I128" i="4"/>
  <c r="I128" i="4" a="1"/>
  <c r="M127" i="4"/>
  <c r="I127" i="4"/>
  <c r="I127" i="4" a="1"/>
  <c r="M126" i="4"/>
  <c r="I126" i="4"/>
  <c r="I126" i="4" a="1"/>
  <c r="M125" i="4"/>
  <c r="I125" i="4"/>
  <c r="I125" i="4" a="1"/>
  <c r="M124" i="4"/>
  <c r="I124" i="4"/>
  <c r="I124" i="4" a="1"/>
  <c r="M123" i="4"/>
  <c r="I123" i="4"/>
  <c r="I123" i="4" a="1"/>
  <c r="M122" i="4"/>
  <c r="I122" i="4"/>
  <c r="I122" i="4" a="1"/>
  <c r="M121" i="4"/>
  <c r="I121" i="4"/>
  <c r="I121" i="4" a="1"/>
  <c r="M120" i="4"/>
  <c r="I120" i="4"/>
  <c r="I120" i="4" a="1"/>
  <c r="M119" i="4"/>
  <c r="I119" i="4"/>
  <c r="I119" i="4" a="1"/>
  <c r="M118" i="4"/>
  <c r="I118" i="4"/>
  <c r="I118" i="4" a="1"/>
  <c r="M117" i="4"/>
  <c r="I117" i="4"/>
  <c r="I117" i="4" a="1"/>
  <c r="M116" i="4"/>
  <c r="I116" i="4"/>
  <c r="I116" i="4" a="1"/>
  <c r="M115" i="4"/>
  <c r="I115" i="4"/>
  <c r="I115" i="4" a="1"/>
  <c r="M114" i="4"/>
  <c r="I114" i="4"/>
  <c r="I114" i="4" a="1"/>
  <c r="M113" i="4"/>
  <c r="I113" i="4"/>
  <c r="I113" i="4" a="1"/>
  <c r="M112" i="4"/>
  <c r="I112" i="4"/>
  <c r="I112" i="4" a="1"/>
  <c r="M111" i="4"/>
  <c r="I111" i="4"/>
  <c r="I111" i="4" a="1"/>
  <c r="M110" i="4"/>
  <c r="I110" i="4"/>
  <c r="I110" i="4" a="1"/>
  <c r="M109" i="4"/>
  <c r="I109" i="4"/>
  <c r="I109" i="4" a="1"/>
  <c r="M108" i="4"/>
  <c r="I108" i="4"/>
  <c r="I108" i="4" a="1"/>
  <c r="M107" i="4"/>
  <c r="I107" i="4"/>
  <c r="I107" i="4" a="1"/>
  <c r="M106" i="4"/>
  <c r="I106" i="4"/>
  <c r="I106" i="4" a="1"/>
  <c r="M105" i="4"/>
  <c r="I105" i="4"/>
  <c r="I105" i="4" a="1"/>
  <c r="M104" i="4"/>
  <c r="I104" i="4"/>
  <c r="I104" i="4" a="1"/>
  <c r="M103" i="4"/>
  <c r="I103" i="4"/>
  <c r="I103" i="4" a="1"/>
  <c r="M102" i="4"/>
  <c r="I102" i="4"/>
  <c r="I102" i="4" a="1"/>
  <c r="M101" i="4"/>
  <c r="I101" i="4"/>
  <c r="I101" i="4" a="1"/>
  <c r="M100" i="4"/>
  <c r="I100" i="4"/>
  <c r="I100" i="4" a="1"/>
  <c r="M99" i="4"/>
  <c r="I99" i="4"/>
  <c r="I99" i="4" a="1"/>
  <c r="M98" i="4"/>
  <c r="I98" i="4"/>
  <c r="I98" i="4" a="1"/>
  <c r="M97" i="4"/>
  <c r="I97" i="4"/>
  <c r="I97" i="4" a="1"/>
  <c r="M96" i="4"/>
  <c r="I96" i="4"/>
  <c r="I96" i="4" a="1"/>
  <c r="M95" i="4"/>
  <c r="I95" i="4"/>
  <c r="I95" i="4" a="1"/>
  <c r="M94" i="4"/>
  <c r="I94" i="4"/>
  <c r="I94" i="4" a="1"/>
  <c r="M93" i="4"/>
  <c r="I93" i="4"/>
  <c r="I93" i="4" a="1"/>
  <c r="M92" i="4"/>
  <c r="I92" i="4"/>
  <c r="I92" i="4" a="1"/>
  <c r="M91" i="4"/>
  <c r="I91" i="4"/>
  <c r="I91" i="4" a="1"/>
  <c r="M90" i="4"/>
  <c r="I90" i="4"/>
  <c r="I90" i="4" a="1"/>
  <c r="M89" i="4"/>
  <c r="I89" i="4"/>
  <c r="I89" i="4" a="1"/>
  <c r="M88" i="4"/>
  <c r="I88" i="4"/>
  <c r="I88" i="4" a="1"/>
  <c r="M87" i="4"/>
  <c r="I87" i="4"/>
  <c r="I87" i="4" a="1"/>
  <c r="M86" i="4"/>
  <c r="I86" i="4"/>
  <c r="I86" i="4" a="1"/>
  <c r="M85" i="4"/>
  <c r="I85" i="4"/>
  <c r="I85" i="4" a="1"/>
  <c r="M84" i="4"/>
  <c r="I84" i="4"/>
  <c r="I84" i="4" a="1"/>
  <c r="M83" i="4"/>
  <c r="I83" i="4"/>
  <c r="I83" i="4" a="1"/>
  <c r="M82" i="4"/>
  <c r="I82" i="4"/>
  <c r="I82" i="4" a="1"/>
  <c r="M81" i="4"/>
  <c r="I81" i="4"/>
  <c r="I81" i="4" a="1"/>
  <c r="M80" i="4"/>
  <c r="I80" i="4"/>
  <c r="I80" i="4" a="1"/>
  <c r="M79" i="4"/>
  <c r="I79" i="4"/>
  <c r="I79" i="4" a="1"/>
  <c r="M78" i="4"/>
  <c r="I78" i="4"/>
  <c r="I78" i="4" a="1"/>
  <c r="M77" i="4"/>
  <c r="I77" i="4"/>
  <c r="I77" i="4" a="1"/>
  <c r="M76" i="4"/>
  <c r="I76" i="4"/>
  <c r="I76" i="4" a="1"/>
  <c r="M75" i="4"/>
  <c r="I75" i="4"/>
  <c r="I75" i="4" a="1"/>
  <c r="M74" i="4"/>
  <c r="I74" i="4"/>
  <c r="I74" i="4" a="1"/>
  <c r="M73" i="4"/>
  <c r="I73" i="4"/>
  <c r="I73" i="4" a="1"/>
  <c r="M72" i="4"/>
  <c r="I72" i="4"/>
  <c r="I72" i="4" a="1"/>
  <c r="M71" i="4"/>
  <c r="I71" i="4"/>
  <c r="I71" i="4" a="1"/>
  <c r="M70" i="4"/>
  <c r="I70" i="4"/>
  <c r="I70" i="4" a="1"/>
  <c r="M69" i="4"/>
  <c r="I69" i="4"/>
  <c r="I69" i="4" a="1"/>
  <c r="M68" i="4"/>
  <c r="I68" i="4"/>
  <c r="I68" i="4" a="1"/>
  <c r="M67" i="4"/>
  <c r="I67" i="4"/>
  <c r="I67" i="4" a="1"/>
  <c r="M66" i="4"/>
  <c r="I66" i="4"/>
  <c r="I66" i="4" a="1"/>
  <c r="M65" i="4"/>
  <c r="I65" i="4"/>
  <c r="I65" i="4" a="1"/>
  <c r="M64" i="4"/>
  <c r="I64" i="4"/>
  <c r="I64" i="4" a="1"/>
  <c r="M63" i="4"/>
  <c r="I63" i="4"/>
  <c r="I63" i="4" a="1"/>
  <c r="M62" i="4"/>
  <c r="I62" i="4"/>
  <c r="I62" i="4" a="1"/>
  <c r="M61" i="4"/>
  <c r="I61" i="4"/>
  <c r="I61" i="4" a="1"/>
  <c r="M60" i="4"/>
  <c r="I60" i="4"/>
  <c r="I60" i="4" a="1"/>
  <c r="M59" i="4"/>
  <c r="I59" i="4"/>
  <c r="I59" i="4" a="1"/>
  <c r="M58" i="4"/>
  <c r="I58" i="4"/>
  <c r="I58" i="4" a="1"/>
  <c r="M57" i="4"/>
  <c r="I57" i="4"/>
  <c r="I57" i="4" a="1"/>
  <c r="M56" i="4"/>
  <c r="I56" i="4"/>
  <c r="I56" i="4" a="1"/>
  <c r="M55" i="4"/>
  <c r="I55" i="4"/>
  <c r="I55" i="4" a="1"/>
  <c r="M54" i="4"/>
  <c r="I54" i="4"/>
  <c r="I54" i="4" a="1"/>
  <c r="M53" i="4"/>
  <c r="I53" i="4"/>
  <c r="I53" i="4" a="1"/>
  <c r="M52" i="4"/>
  <c r="I52" i="4"/>
  <c r="I52" i="4" a="1"/>
  <c r="M51" i="4"/>
  <c r="I51" i="4"/>
  <c r="I51" i="4" a="1"/>
  <c r="M50" i="4"/>
  <c r="I50" i="4"/>
  <c r="I50" i="4" a="1"/>
  <c r="M49" i="4"/>
  <c r="I49" i="4"/>
  <c r="I49" i="4" a="1"/>
  <c r="M48" i="4"/>
  <c r="I48" i="4"/>
  <c r="I48" i="4" a="1"/>
  <c r="M47" i="4"/>
  <c r="I47" i="4"/>
  <c r="I47" i="4" a="1"/>
  <c r="M46" i="4"/>
  <c r="I46" i="4"/>
  <c r="I46" i="4" a="1"/>
  <c r="M45" i="4"/>
  <c r="I45" i="4"/>
  <c r="I45" i="4" a="1"/>
  <c r="M44" i="4"/>
  <c r="I44" i="4"/>
  <c r="I44" i="4" a="1"/>
  <c r="M43" i="4"/>
  <c r="I43" i="4"/>
  <c r="I43" i="4" a="1"/>
  <c r="M42" i="4"/>
  <c r="I42" i="4"/>
  <c r="I42" i="4" a="1"/>
  <c r="M41" i="4"/>
  <c r="I41" i="4"/>
  <c r="I41" i="4" a="1"/>
  <c r="M40" i="4"/>
  <c r="I40" i="4"/>
  <c r="I40" i="4" a="1"/>
  <c r="M39" i="4"/>
  <c r="I39" i="4"/>
  <c r="I39" i="4" a="1"/>
  <c r="M38" i="4"/>
  <c r="I38" i="4"/>
  <c r="I38" i="4" a="1"/>
  <c r="M37" i="4"/>
  <c r="I37" i="4"/>
  <c r="I37" i="4" a="1"/>
  <c r="M36" i="4"/>
  <c r="I36" i="4"/>
  <c r="I36" i="4" a="1"/>
  <c r="M35" i="4"/>
  <c r="I35" i="4"/>
  <c r="I35" i="4" a="1"/>
  <c r="M34" i="4"/>
  <c r="I34" i="4"/>
  <c r="I34" i="4" a="1"/>
  <c r="M33" i="4"/>
  <c r="I33" i="4"/>
  <c r="I33" i="4" a="1"/>
  <c r="M32" i="4"/>
  <c r="I32" i="4"/>
  <c r="I32" i="4" a="1"/>
  <c r="M31" i="4"/>
  <c r="I31" i="4"/>
  <c r="I31" i="4" a="1"/>
  <c r="M30" i="4"/>
  <c r="I30" i="4"/>
  <c r="I30" i="4" a="1"/>
  <c r="M29" i="4"/>
  <c r="I29" i="4"/>
  <c r="I29" i="4" a="1"/>
  <c r="M28" i="4"/>
  <c r="I28" i="4"/>
  <c r="I28" i="4" a="1"/>
  <c r="M27" i="4"/>
  <c r="I27" i="4"/>
  <c r="I27" i="4" a="1"/>
  <c r="M26" i="4"/>
  <c r="I26" i="4"/>
  <c r="I26" i="4" a="1"/>
  <c r="M25" i="4"/>
  <c r="I25" i="4"/>
  <c r="I25" i="4" a="1"/>
  <c r="M24" i="4"/>
  <c r="I24" i="4"/>
  <c r="I24" i="4" a="1"/>
  <c r="M23" i="4"/>
  <c r="I23" i="4"/>
  <c r="I23" i="4" a="1"/>
  <c r="M22" i="4"/>
  <c r="I22" i="4"/>
  <c r="I22" i="4" a="1"/>
  <c r="M21" i="4"/>
  <c r="I21" i="4"/>
  <c r="I21" i="4" a="1"/>
  <c r="M20" i="4"/>
  <c r="I20" i="4"/>
  <c r="I20" i="4" a="1"/>
  <c r="M19" i="4"/>
  <c r="I19" i="4"/>
  <c r="I19" i="4" a="1"/>
  <c r="M18" i="4"/>
  <c r="I18" i="4"/>
  <c r="I18" i="4" a="1"/>
  <c r="M17" i="4"/>
  <c r="I17" i="4"/>
  <c r="I17" i="4" a="1"/>
  <c r="M16" i="4"/>
  <c r="I16" i="4"/>
  <c r="I16" i="4" a="1"/>
  <c r="M15" i="4"/>
  <c r="I15" i="4"/>
  <c r="I15" i="4" a="1"/>
  <c r="M14" i="4"/>
  <c r="I14" i="4"/>
  <c r="I14" i="4" a="1"/>
  <c r="M13" i="4"/>
  <c r="I13" i="4"/>
  <c r="I13" i="4" a="1"/>
  <c r="M12" i="4"/>
  <c r="I12" i="4"/>
  <c r="I12" i="4" a="1"/>
  <c r="M11" i="4"/>
  <c r="I11" i="4"/>
  <c r="I11" i="4" a="1"/>
  <c r="M10" i="4"/>
  <c r="I10" i="4"/>
  <c r="I10" i="4" a="1"/>
  <c r="M9" i="4"/>
  <c r="I9" i="4"/>
  <c r="I9" i="4" a="1"/>
  <c r="M8" i="4"/>
  <c r="I8" i="4"/>
  <c r="I8" i="4" a="1"/>
  <c r="M7" i="4"/>
  <c r="I7" i="4"/>
  <c r="I7" i="4" a="1"/>
  <c r="M6" i="4"/>
  <c r="I6" i="4"/>
  <c r="I6" i="4" a="1"/>
  <c r="M5" i="4"/>
  <c r="I5" i="4"/>
  <c r="I5" i="4" a="1"/>
  <c r="M4" i="4"/>
  <c r="I4" i="4"/>
  <c r="I4" i="4" a="1"/>
  <c r="M3" i="4"/>
  <c r="I3" i="4"/>
  <c r="I3" i="4" a="1"/>
  <c r="L259" i="1"/>
  <c r="K259" i="1" a="1"/>
  <c r="K259" i="1" s="1"/>
  <c r="L258" i="1"/>
  <c r="K258" i="1" a="1"/>
  <c r="K258" i="1" s="1"/>
  <c r="L257" i="1"/>
  <c r="K257" i="1" a="1"/>
  <c r="K257" i="1" s="1"/>
  <c r="L256" i="1"/>
  <c r="K256" i="1" a="1"/>
  <c r="K256" i="1" s="1"/>
  <c r="L255" i="1"/>
  <c r="K255" i="1" a="1"/>
  <c r="K255" i="1" s="1"/>
  <c r="L254" i="1"/>
  <c r="K254" i="1" a="1"/>
  <c r="K254" i="1" s="1"/>
  <c r="L253" i="1"/>
  <c r="K253" i="1" a="1"/>
  <c r="K253" i="1" s="1"/>
  <c r="L252" i="1"/>
  <c r="K252" i="1"/>
  <c r="K252" i="1" a="1"/>
  <c r="L251" i="1"/>
  <c r="K251" i="1" a="1"/>
  <c r="K251" i="1" s="1"/>
  <c r="L250" i="1"/>
  <c r="K250" i="1" a="1"/>
  <c r="K250" i="1" s="1"/>
  <c r="L249" i="1"/>
  <c r="K249" i="1" a="1"/>
  <c r="K249" i="1" s="1"/>
  <c r="L248" i="1"/>
  <c r="K248" i="1"/>
  <c r="K248" i="1" a="1"/>
  <c r="L247" i="1"/>
  <c r="K247" i="1" a="1"/>
  <c r="K247" i="1" s="1"/>
  <c r="L246" i="1"/>
  <c r="K246" i="1" a="1"/>
  <c r="K246" i="1" s="1"/>
  <c r="L245" i="1"/>
  <c r="K245" i="1"/>
  <c r="K245" i="1" a="1"/>
  <c r="L244" i="1"/>
  <c r="K244" i="1" a="1"/>
  <c r="K244" i="1" s="1"/>
  <c r="L243" i="1"/>
  <c r="K243" i="1" a="1"/>
  <c r="K243" i="1" s="1"/>
  <c r="L242" i="1"/>
  <c r="K242" i="1" a="1"/>
  <c r="K242" i="1" s="1"/>
  <c r="L241" i="1"/>
  <c r="K241" i="1" a="1"/>
  <c r="K241" i="1" s="1"/>
  <c r="L240" i="1"/>
  <c r="K240" i="1" a="1"/>
  <c r="K240" i="1" s="1"/>
  <c r="L239" i="1"/>
  <c r="K239" i="1"/>
  <c r="K239" i="1" a="1"/>
  <c r="L238" i="1"/>
  <c r="K238" i="1" a="1"/>
  <c r="K238" i="1" s="1"/>
  <c r="L237" i="1"/>
  <c r="K237" i="1" a="1"/>
  <c r="K237" i="1" s="1"/>
  <c r="L236" i="1"/>
  <c r="K236" i="1" a="1"/>
  <c r="K236" i="1" s="1"/>
  <c r="L235" i="1"/>
  <c r="K235" i="1" a="1"/>
  <c r="K235" i="1" s="1"/>
  <c r="L234" i="1"/>
  <c r="K234" i="1" a="1"/>
  <c r="K234" i="1" s="1"/>
  <c r="L233" i="1"/>
  <c r="K233" i="1" a="1"/>
  <c r="K233" i="1" s="1"/>
  <c r="L232" i="1"/>
  <c r="K232" i="1"/>
  <c r="K232" i="1" a="1"/>
  <c r="L231" i="1"/>
  <c r="K231" i="1"/>
  <c r="K231" i="1" a="1"/>
  <c r="L230" i="1"/>
  <c r="K230" i="1" a="1"/>
  <c r="K230" i="1" s="1"/>
  <c r="L229" i="1"/>
  <c r="K229" i="1"/>
  <c r="K229" i="1" a="1"/>
  <c r="L228" i="1"/>
  <c r="K228" i="1" a="1"/>
  <c r="K228" i="1" s="1"/>
  <c r="L227" i="1"/>
  <c r="K227" i="1" a="1"/>
  <c r="K227" i="1" s="1"/>
  <c r="L226" i="1"/>
  <c r="K226" i="1" a="1"/>
  <c r="K226" i="1" s="1"/>
  <c r="L225" i="1"/>
  <c r="K225" i="1" a="1"/>
  <c r="K225" i="1" s="1"/>
  <c r="L224" i="1"/>
  <c r="K224" i="1" a="1"/>
  <c r="K224" i="1" s="1"/>
  <c r="L223" i="1"/>
  <c r="K223" i="1"/>
  <c r="K223" i="1" a="1"/>
  <c r="L222" i="1"/>
  <c r="K222" i="1" a="1"/>
  <c r="K222" i="1" s="1"/>
  <c r="L221" i="1"/>
  <c r="K221" i="1" a="1"/>
  <c r="K221" i="1" s="1"/>
  <c r="L220" i="1"/>
  <c r="K220" i="1" a="1"/>
  <c r="K220" i="1" s="1"/>
  <c r="L219" i="1"/>
  <c r="K219" i="1" a="1"/>
  <c r="K219" i="1" s="1"/>
  <c r="L218" i="1"/>
  <c r="K218" i="1" a="1"/>
  <c r="K218" i="1" s="1"/>
  <c r="L217" i="1"/>
  <c r="K217" i="1" a="1"/>
  <c r="K217" i="1" s="1"/>
  <c r="L216" i="1"/>
  <c r="K216" i="1"/>
  <c r="K216" i="1" a="1"/>
  <c r="L215" i="1"/>
  <c r="K215" i="1"/>
  <c r="K215" i="1" a="1"/>
  <c r="L214" i="1"/>
  <c r="K214" i="1" a="1"/>
  <c r="K214" i="1" s="1"/>
  <c r="L213" i="1"/>
  <c r="K213" i="1"/>
  <c r="K213" i="1" a="1"/>
  <c r="L212" i="1"/>
  <c r="K212" i="1" a="1"/>
  <c r="K212" i="1" s="1"/>
  <c r="L211" i="1"/>
  <c r="K211" i="1" a="1"/>
  <c r="K211" i="1" s="1"/>
  <c r="L210" i="1"/>
  <c r="K210" i="1" a="1"/>
  <c r="K210" i="1" s="1"/>
  <c r="L209" i="1"/>
  <c r="K209" i="1" a="1"/>
  <c r="K209" i="1" s="1"/>
  <c r="L208" i="1"/>
  <c r="K208" i="1" a="1"/>
  <c r="K208" i="1" s="1"/>
  <c r="L207" i="1"/>
  <c r="K207" i="1"/>
  <c r="K207" i="1" a="1"/>
  <c r="L206" i="1"/>
  <c r="K206" i="1" a="1"/>
  <c r="K206" i="1" s="1"/>
  <c r="L205" i="1"/>
  <c r="K205" i="1" a="1"/>
  <c r="K205" i="1" s="1"/>
  <c r="L204" i="1"/>
  <c r="K204" i="1" a="1"/>
  <c r="K204" i="1" s="1"/>
  <c r="L203" i="1"/>
  <c r="K203" i="1" a="1"/>
  <c r="K203" i="1" s="1"/>
  <c r="L202" i="1"/>
  <c r="K202" i="1" a="1"/>
  <c r="K202" i="1" s="1"/>
  <c r="L201" i="1"/>
  <c r="K201" i="1" a="1"/>
  <c r="K201" i="1" s="1"/>
  <c r="L200" i="1"/>
  <c r="K200" i="1"/>
  <c r="K200" i="1" a="1"/>
  <c r="L199" i="1"/>
  <c r="K199" i="1"/>
  <c r="K199" i="1" a="1"/>
  <c r="L198" i="1"/>
  <c r="K198" i="1" a="1"/>
  <c r="K198" i="1" s="1"/>
  <c r="L197" i="1"/>
  <c r="K197" i="1"/>
  <c r="K197" i="1" a="1"/>
  <c r="L196" i="1"/>
  <c r="K196" i="1" a="1"/>
  <c r="K196" i="1" s="1"/>
  <c r="L195" i="1"/>
  <c r="K195" i="1" a="1"/>
  <c r="K195" i="1" s="1"/>
  <c r="L194" i="1"/>
  <c r="K194" i="1" a="1"/>
  <c r="K194" i="1" s="1"/>
  <c r="L193" i="1"/>
  <c r="K193" i="1" a="1"/>
  <c r="K193" i="1" s="1"/>
  <c r="L192" i="1"/>
  <c r="K192" i="1" a="1"/>
  <c r="K192" i="1" s="1"/>
  <c r="L191" i="1"/>
  <c r="K191" i="1" a="1"/>
  <c r="K191" i="1" s="1"/>
  <c r="L190" i="1"/>
  <c r="K190" i="1" a="1"/>
  <c r="K190" i="1" s="1"/>
  <c r="L189" i="1"/>
  <c r="K189" i="1"/>
  <c r="K189" i="1" a="1"/>
  <c r="L188" i="1"/>
  <c r="K188" i="1" a="1"/>
  <c r="K188" i="1" s="1"/>
  <c r="L187" i="1"/>
  <c r="K187" i="1"/>
  <c r="K187" i="1" a="1"/>
  <c r="L186" i="1"/>
  <c r="K186" i="1" a="1"/>
  <c r="K186" i="1" s="1"/>
  <c r="L185" i="1"/>
  <c r="K185" i="1" a="1"/>
  <c r="K185" i="1" s="1"/>
  <c r="L184" i="1"/>
  <c r="K184" i="1" a="1"/>
  <c r="K184" i="1" s="1"/>
  <c r="L183" i="1"/>
  <c r="K183" i="1" a="1"/>
  <c r="K183" i="1" s="1"/>
  <c r="L182" i="1"/>
  <c r="K182" i="1" a="1"/>
  <c r="K182" i="1" s="1"/>
  <c r="L181" i="1"/>
  <c r="K181" i="1" a="1"/>
  <c r="K181" i="1" s="1"/>
  <c r="L180" i="1"/>
  <c r="K180" i="1" a="1"/>
  <c r="K180" i="1" s="1"/>
  <c r="L179" i="1"/>
  <c r="K179" i="1" a="1"/>
  <c r="K179" i="1" s="1"/>
  <c r="L178" i="1"/>
  <c r="K178" i="1" a="1"/>
  <c r="K178" i="1" s="1"/>
  <c r="L177" i="1"/>
  <c r="K177" i="1" a="1"/>
  <c r="K177" i="1" s="1"/>
  <c r="L176" i="1"/>
  <c r="K176" i="1" a="1"/>
  <c r="K176" i="1" s="1"/>
  <c r="L175" i="1"/>
  <c r="K175" i="1"/>
  <c r="K175" i="1" a="1"/>
  <c r="L174" i="1"/>
  <c r="K174" i="1" a="1"/>
  <c r="K174" i="1" s="1"/>
  <c r="L173" i="1"/>
  <c r="K173" i="1" a="1"/>
  <c r="K173" i="1" s="1"/>
  <c r="L172" i="1"/>
  <c r="K172" i="1"/>
  <c r="K172" i="1" a="1"/>
  <c r="L171" i="1"/>
  <c r="K171" i="1"/>
  <c r="K171" i="1" a="1"/>
  <c r="L170" i="1"/>
  <c r="K170" i="1" a="1"/>
  <c r="K170" i="1" s="1"/>
  <c r="L169" i="1"/>
  <c r="K169" i="1" a="1"/>
  <c r="K169" i="1" s="1"/>
  <c r="L168" i="1"/>
  <c r="K168" i="1" a="1"/>
  <c r="K168" i="1" s="1"/>
  <c r="L167" i="1"/>
  <c r="K167" i="1"/>
  <c r="K167" i="1" a="1"/>
  <c r="L166" i="1"/>
  <c r="K166" i="1" a="1"/>
  <c r="K166" i="1" s="1"/>
  <c r="L165" i="1"/>
  <c r="K165" i="1" a="1"/>
  <c r="K165" i="1" s="1"/>
  <c r="L164" i="1"/>
  <c r="K164" i="1"/>
  <c r="K164" i="1" a="1"/>
  <c r="L163" i="1"/>
  <c r="K163" i="1" a="1"/>
  <c r="K163" i="1" s="1"/>
  <c r="L162" i="1"/>
  <c r="K162" i="1" a="1"/>
  <c r="K162" i="1" s="1"/>
  <c r="L161" i="1"/>
  <c r="K161" i="1" a="1"/>
  <c r="K161" i="1" s="1"/>
  <c r="L160" i="1"/>
  <c r="K160" i="1" a="1"/>
  <c r="K160" i="1" s="1"/>
  <c r="L159" i="1"/>
  <c r="K159" i="1" a="1"/>
  <c r="K159" i="1" s="1"/>
  <c r="L158" i="1"/>
  <c r="K158" i="1" a="1"/>
  <c r="K158" i="1" s="1"/>
  <c r="L157" i="1"/>
  <c r="K157" i="1" a="1"/>
  <c r="K157" i="1" s="1"/>
  <c r="L156" i="1"/>
  <c r="K156" i="1" a="1"/>
  <c r="K156" i="1" s="1"/>
  <c r="L155" i="1"/>
  <c r="K155" i="1" a="1"/>
  <c r="K155" i="1" s="1"/>
  <c r="L154" i="1"/>
  <c r="K154" i="1" a="1"/>
  <c r="K154" i="1" s="1"/>
  <c r="L153" i="1"/>
  <c r="K153" i="1" a="1"/>
  <c r="K153" i="1" s="1"/>
  <c r="L152" i="1"/>
  <c r="K152" i="1" a="1"/>
  <c r="K152" i="1" s="1"/>
  <c r="L151" i="1"/>
  <c r="K151" i="1"/>
  <c r="K151" i="1" a="1"/>
  <c r="L150" i="1"/>
  <c r="K150" i="1" a="1"/>
  <c r="K150" i="1" s="1"/>
  <c r="L149" i="1"/>
  <c r="K149" i="1" a="1"/>
  <c r="K149" i="1" s="1"/>
  <c r="L148" i="1"/>
  <c r="K148" i="1" a="1"/>
  <c r="K148" i="1" s="1"/>
  <c r="L147" i="1"/>
  <c r="K147" i="1" a="1"/>
  <c r="K147" i="1" s="1"/>
  <c r="L146" i="1"/>
  <c r="K146" i="1" a="1"/>
  <c r="K146" i="1" s="1"/>
  <c r="L145" i="1"/>
  <c r="K145" i="1" a="1"/>
  <c r="K145" i="1" s="1"/>
  <c r="L144" i="1"/>
  <c r="K144" i="1" a="1"/>
  <c r="K144" i="1" s="1"/>
  <c r="L143" i="1"/>
  <c r="K143" i="1"/>
  <c r="K143" i="1" a="1"/>
  <c r="L142" i="1"/>
  <c r="K142" i="1" a="1"/>
  <c r="K142" i="1" s="1"/>
  <c r="L141" i="1"/>
  <c r="K141" i="1"/>
  <c r="K141" i="1" a="1"/>
  <c r="L140" i="1"/>
  <c r="K140" i="1" a="1"/>
  <c r="K140" i="1" s="1"/>
  <c r="L139" i="1"/>
  <c r="K139" i="1" a="1"/>
  <c r="K139" i="1" s="1"/>
  <c r="L138" i="1"/>
  <c r="K138" i="1" a="1"/>
  <c r="K138" i="1" s="1"/>
  <c r="L137" i="1"/>
  <c r="K137" i="1" a="1"/>
  <c r="K137" i="1" s="1"/>
  <c r="L136" i="1"/>
  <c r="K136" i="1" a="1"/>
  <c r="K136" i="1" s="1"/>
  <c r="L135" i="1"/>
  <c r="K135" i="1"/>
  <c r="K135" i="1" a="1"/>
  <c r="L134" i="1"/>
  <c r="K134" i="1" a="1"/>
  <c r="K134" i="1" s="1"/>
  <c r="L133" i="1"/>
  <c r="K133" i="1"/>
  <c r="K133" i="1" a="1"/>
  <c r="L132" i="1"/>
  <c r="K132" i="1" a="1"/>
  <c r="K132" i="1" s="1"/>
  <c r="L131" i="1"/>
  <c r="K131" i="1"/>
  <c r="K131" i="1" a="1"/>
  <c r="L130" i="1"/>
  <c r="K130" i="1" a="1"/>
  <c r="K130" i="1" s="1"/>
  <c r="L129" i="1"/>
  <c r="K129" i="1" a="1"/>
  <c r="K129" i="1" s="1"/>
  <c r="L128" i="1"/>
  <c r="K128" i="1" a="1"/>
  <c r="K128" i="1" s="1"/>
  <c r="L127" i="1"/>
  <c r="K127" i="1"/>
  <c r="K127" i="1" a="1"/>
  <c r="L126" i="1"/>
  <c r="K126" i="1" a="1"/>
  <c r="K126" i="1" s="1"/>
  <c r="L125" i="1"/>
  <c r="K125" i="1"/>
  <c r="K125" i="1" a="1"/>
  <c r="L124" i="1"/>
  <c r="K124" i="1" a="1"/>
  <c r="K124" i="1" s="1"/>
  <c r="L123" i="1"/>
  <c r="K123" i="1"/>
  <c r="K123" i="1" a="1"/>
  <c r="L122" i="1"/>
  <c r="K122" i="1" a="1"/>
  <c r="K122" i="1" s="1"/>
  <c r="L121" i="1"/>
  <c r="K121" i="1" a="1"/>
  <c r="K121" i="1" s="1"/>
  <c r="L120" i="1"/>
  <c r="K120" i="1" a="1"/>
  <c r="K120" i="1" s="1"/>
  <c r="L119" i="1"/>
  <c r="K119" i="1" a="1"/>
  <c r="K119" i="1" s="1"/>
  <c r="L118" i="1"/>
  <c r="K118" i="1" a="1"/>
  <c r="K118" i="1" s="1"/>
  <c r="L117" i="1"/>
  <c r="K117" i="1"/>
  <c r="K117" i="1" a="1"/>
  <c r="L116" i="1"/>
  <c r="K116" i="1" a="1"/>
  <c r="K116" i="1" s="1"/>
  <c r="L115" i="1"/>
  <c r="K115" i="1"/>
  <c r="K115" i="1" a="1"/>
  <c r="L114" i="1"/>
  <c r="K114" i="1" a="1"/>
  <c r="K114" i="1" s="1"/>
  <c r="L113" i="1"/>
  <c r="K113" i="1" a="1"/>
  <c r="K113" i="1" s="1"/>
  <c r="L112" i="1"/>
  <c r="K112" i="1" a="1"/>
  <c r="K112" i="1" s="1"/>
  <c r="L111" i="1"/>
  <c r="K111" i="1" a="1"/>
  <c r="K111" i="1" s="1"/>
  <c r="L110" i="1"/>
  <c r="K110" i="1" a="1"/>
  <c r="K110" i="1" s="1"/>
  <c r="L109" i="1"/>
  <c r="K109" i="1" a="1"/>
  <c r="K109" i="1" s="1"/>
  <c r="L108" i="1"/>
  <c r="K108" i="1" a="1"/>
  <c r="K108" i="1" s="1"/>
  <c r="L107" i="1"/>
  <c r="K107" i="1"/>
  <c r="K107" i="1" a="1"/>
  <c r="L106" i="1"/>
  <c r="K106" i="1"/>
  <c r="K106" i="1" a="1"/>
  <c r="L105" i="1"/>
  <c r="K105" i="1" a="1"/>
  <c r="K105" i="1" s="1"/>
  <c r="L104" i="1"/>
  <c r="K104" i="1" a="1"/>
  <c r="K104" i="1" s="1"/>
  <c r="L103" i="1"/>
  <c r="K103" i="1" a="1"/>
  <c r="K103" i="1" s="1"/>
  <c r="L102" i="1"/>
  <c r="K102" i="1" a="1"/>
  <c r="K102" i="1" s="1"/>
  <c r="L101" i="1"/>
  <c r="K101" i="1" a="1"/>
  <c r="K101" i="1" s="1"/>
  <c r="L100" i="1"/>
  <c r="K100" i="1"/>
  <c r="K100" i="1" a="1"/>
  <c r="L99" i="1"/>
  <c r="K99" i="1" a="1"/>
  <c r="K99" i="1" s="1"/>
  <c r="L98" i="1"/>
  <c r="K98" i="1" a="1"/>
  <c r="K98" i="1" s="1"/>
  <c r="L97" i="1"/>
  <c r="K97" i="1" a="1"/>
  <c r="K97" i="1" s="1"/>
  <c r="L96" i="1"/>
  <c r="K96" i="1" a="1"/>
  <c r="K96" i="1" s="1"/>
  <c r="L95" i="1"/>
  <c r="K95" i="1"/>
  <c r="K95" i="1" a="1"/>
  <c r="L94" i="1"/>
  <c r="K94" i="1" a="1"/>
  <c r="K94" i="1" s="1"/>
  <c r="L93" i="1"/>
  <c r="K93" i="1" a="1"/>
  <c r="K93" i="1" s="1"/>
  <c r="L92" i="1"/>
  <c r="K92" i="1" a="1"/>
  <c r="K92" i="1" s="1"/>
  <c r="L91" i="1"/>
  <c r="K91" i="1" a="1"/>
  <c r="K91" i="1" s="1"/>
  <c r="L90" i="1"/>
  <c r="K90" i="1" a="1"/>
  <c r="K90" i="1" s="1"/>
  <c r="L89" i="1"/>
  <c r="K89" i="1" a="1"/>
  <c r="K89" i="1" s="1"/>
  <c r="L88" i="1"/>
  <c r="K88" i="1" a="1"/>
  <c r="K88" i="1" s="1"/>
  <c r="L87" i="1"/>
  <c r="K87" i="1"/>
  <c r="K87" i="1" a="1"/>
  <c r="L86" i="1"/>
  <c r="K86" i="1" a="1"/>
  <c r="K86" i="1" s="1"/>
  <c r="L85" i="1"/>
  <c r="K85" i="1" a="1"/>
  <c r="K85" i="1" s="1"/>
  <c r="L84" i="1"/>
  <c r="K84" i="1" a="1"/>
  <c r="K84" i="1" s="1"/>
  <c r="L83" i="1"/>
  <c r="K83" i="1" a="1"/>
  <c r="K83" i="1" s="1"/>
  <c r="L82" i="1"/>
  <c r="K82" i="1" a="1"/>
  <c r="K82" i="1" s="1"/>
  <c r="L81" i="1"/>
  <c r="K81" i="1" a="1"/>
  <c r="K81" i="1" s="1"/>
  <c r="L80" i="1"/>
  <c r="K80" i="1" a="1"/>
  <c r="K80" i="1" s="1"/>
  <c r="L79" i="1"/>
  <c r="K79" i="1" a="1"/>
  <c r="K79" i="1" s="1"/>
  <c r="L78" i="1"/>
  <c r="K78" i="1" a="1"/>
  <c r="K78" i="1" s="1"/>
  <c r="L77" i="1"/>
  <c r="K77" i="1" a="1"/>
  <c r="K77" i="1" s="1"/>
  <c r="L76" i="1"/>
  <c r="K76" i="1" a="1"/>
  <c r="K76" i="1" s="1"/>
  <c r="L75" i="1"/>
  <c r="K75" i="1" a="1"/>
  <c r="K75" i="1" s="1"/>
  <c r="L74" i="1"/>
  <c r="K74" i="1"/>
  <c r="K74" i="1" a="1"/>
  <c r="L73" i="1"/>
  <c r="K73" i="1" a="1"/>
  <c r="K73" i="1" s="1"/>
  <c r="L72" i="1"/>
  <c r="K72" i="1" a="1"/>
  <c r="K72" i="1" s="1"/>
  <c r="L71" i="1"/>
  <c r="K71" i="1" a="1"/>
  <c r="K71" i="1" s="1"/>
  <c r="L70" i="1"/>
  <c r="K70" i="1" a="1"/>
  <c r="K70" i="1" s="1"/>
  <c r="L69" i="1"/>
  <c r="K69" i="1" a="1"/>
  <c r="K69" i="1" s="1"/>
  <c r="L68" i="1"/>
  <c r="K68" i="1" a="1"/>
  <c r="K68" i="1" s="1"/>
  <c r="L67" i="1"/>
  <c r="K67" i="1"/>
  <c r="K67" i="1" a="1"/>
  <c r="L66" i="1"/>
  <c r="K66" i="1"/>
  <c r="K66" i="1" a="1"/>
  <c r="L65" i="1"/>
  <c r="K65" i="1" a="1"/>
  <c r="K65" i="1" s="1"/>
  <c r="L64" i="1"/>
  <c r="K64" i="1" a="1"/>
  <c r="K64" i="1" s="1"/>
  <c r="L63" i="1"/>
  <c r="K63" i="1" a="1"/>
  <c r="K63" i="1" s="1"/>
  <c r="L62" i="1"/>
  <c r="K62" i="1" a="1"/>
  <c r="K62" i="1" s="1"/>
  <c r="L61" i="1"/>
  <c r="K61" i="1" a="1"/>
  <c r="K61" i="1" s="1"/>
  <c r="L60" i="1"/>
  <c r="K60" i="1" a="1"/>
  <c r="K60" i="1" s="1"/>
  <c r="L59" i="1"/>
  <c r="K59" i="1"/>
  <c r="K59" i="1" a="1"/>
  <c r="L58" i="1"/>
  <c r="K58" i="1"/>
  <c r="K58" i="1" a="1"/>
  <c r="L57" i="1"/>
  <c r="K57" i="1" a="1"/>
  <c r="K57" i="1" s="1"/>
  <c r="L56" i="1"/>
  <c r="K56" i="1" a="1"/>
  <c r="K56" i="1" s="1"/>
  <c r="L55" i="1"/>
  <c r="K55" i="1" a="1"/>
  <c r="K55" i="1" s="1"/>
  <c r="L54" i="1"/>
  <c r="K54" i="1" a="1"/>
  <c r="K54" i="1" s="1"/>
  <c r="L53" i="1"/>
  <c r="K53" i="1" a="1"/>
  <c r="K53" i="1" s="1"/>
  <c r="L52" i="1"/>
  <c r="K52" i="1" a="1"/>
  <c r="K52" i="1" s="1"/>
  <c r="L51" i="1"/>
  <c r="K51" i="1"/>
  <c r="K51" i="1" a="1"/>
  <c r="L50" i="1"/>
  <c r="K50" i="1"/>
  <c r="K50" i="1" a="1"/>
  <c r="L49" i="1"/>
  <c r="K49" i="1" a="1"/>
  <c r="K49" i="1" s="1"/>
  <c r="L48" i="1"/>
  <c r="K48" i="1" a="1"/>
  <c r="K48" i="1" s="1"/>
  <c r="L47" i="1"/>
  <c r="K47" i="1" a="1"/>
  <c r="K47" i="1" s="1"/>
  <c r="L46" i="1"/>
  <c r="K46" i="1" a="1"/>
  <c r="K46" i="1" s="1"/>
  <c r="L45" i="1"/>
  <c r="K45" i="1" a="1"/>
  <c r="K45" i="1" s="1"/>
  <c r="L44" i="1"/>
  <c r="K44" i="1" a="1"/>
  <c r="K44" i="1" s="1"/>
  <c r="L43" i="1"/>
  <c r="K43" i="1"/>
  <c r="K43" i="1" a="1"/>
  <c r="L42" i="1"/>
  <c r="K42" i="1" a="1"/>
  <c r="K42" i="1" s="1"/>
  <c r="L41" i="1"/>
  <c r="K41" i="1" a="1"/>
  <c r="K41" i="1" s="1"/>
  <c r="L40" i="1"/>
  <c r="K40" i="1" a="1"/>
  <c r="K40" i="1" s="1"/>
  <c r="L39" i="1"/>
  <c r="K39" i="1"/>
  <c r="K39" i="1" a="1"/>
  <c r="O38" i="1"/>
  <c r="L38" i="1"/>
  <c r="K38" i="1" a="1"/>
  <c r="K38" i="1" s="1"/>
  <c r="L37" i="1"/>
  <c r="K37" i="1"/>
  <c r="K37" i="1" a="1"/>
  <c r="L36" i="1"/>
  <c r="K36" i="1" a="1"/>
  <c r="K36" i="1" s="1"/>
  <c r="L35" i="1"/>
  <c r="K35" i="1" a="1"/>
  <c r="K35" i="1" s="1"/>
  <c r="L34" i="1"/>
  <c r="K34" i="1" a="1"/>
  <c r="K34" i="1" s="1"/>
  <c r="L33" i="1"/>
  <c r="K33" i="1" a="1"/>
  <c r="K33" i="1" s="1"/>
  <c r="L32" i="1"/>
  <c r="K32" i="1" a="1"/>
  <c r="K32" i="1" s="1"/>
  <c r="L31" i="1"/>
  <c r="K31" i="1" a="1"/>
  <c r="K31" i="1" s="1"/>
  <c r="L30" i="1"/>
  <c r="K30" i="1" a="1"/>
  <c r="K30" i="1" s="1"/>
  <c r="L29" i="1"/>
  <c r="K29" i="1"/>
  <c r="K29" i="1" a="1"/>
  <c r="L28" i="1"/>
  <c r="K28" i="1" a="1"/>
  <c r="K28" i="1" s="1"/>
  <c r="L27" i="1"/>
  <c r="K27" i="1" a="1"/>
  <c r="K27" i="1" s="1"/>
  <c r="L26" i="1"/>
  <c r="K26" i="1" a="1"/>
  <c r="K26" i="1" s="1"/>
  <c r="L25" i="1"/>
  <c r="K25" i="1" a="1"/>
  <c r="K25" i="1" s="1"/>
  <c r="L24" i="1"/>
  <c r="K24" i="1" a="1"/>
  <c r="K24" i="1" s="1"/>
  <c r="L23" i="1"/>
  <c r="K23" i="1" a="1"/>
  <c r="K23" i="1" s="1"/>
  <c r="L22" i="1"/>
  <c r="K22" i="1" a="1"/>
  <c r="K22" i="1" s="1"/>
  <c r="L21" i="1"/>
  <c r="K21" i="1" a="1"/>
  <c r="K21" i="1" s="1"/>
  <c r="L20" i="1"/>
  <c r="K20" i="1" a="1"/>
  <c r="K20" i="1" s="1"/>
  <c r="L19" i="1"/>
  <c r="K19" i="1" a="1"/>
  <c r="K19" i="1" s="1"/>
  <c r="L18" i="1"/>
  <c r="K18" i="1" a="1"/>
  <c r="K18" i="1" s="1"/>
  <c r="L17" i="1"/>
  <c r="K17" i="1" a="1"/>
  <c r="K17" i="1" s="1"/>
  <c r="L16" i="1"/>
  <c r="K16" i="1" a="1"/>
  <c r="K16" i="1" s="1"/>
  <c r="L15" i="1"/>
  <c r="K15" i="1" a="1"/>
  <c r="K15" i="1" s="1"/>
  <c r="L14" i="1"/>
  <c r="K14" i="1" a="1"/>
  <c r="K14" i="1" s="1"/>
  <c r="L13" i="1"/>
  <c r="K13" i="1" a="1"/>
  <c r="K13" i="1" s="1"/>
  <c r="L12" i="1"/>
  <c r="K12" i="1" a="1"/>
  <c r="K12" i="1" s="1"/>
  <c r="L11" i="1"/>
  <c r="K11" i="1" a="1"/>
  <c r="K11" i="1" s="1"/>
  <c r="L10" i="1"/>
  <c r="K10" i="1"/>
  <c r="K10" i="1" a="1"/>
  <c r="L9" i="1"/>
  <c r="K9" i="1" a="1"/>
  <c r="K9" i="1" s="1"/>
  <c r="L8" i="1"/>
  <c r="K8" i="1" a="1"/>
  <c r="K8" i="1" s="1"/>
  <c r="L7" i="1"/>
  <c r="K7" i="1" a="1"/>
  <c r="K7" i="1" s="1"/>
  <c r="L6" i="1"/>
  <c r="K6" i="1" a="1"/>
  <c r="K6" i="1" s="1"/>
  <c r="L5" i="1"/>
  <c r="K5" i="1"/>
  <c r="K5" i="1" a="1"/>
  <c r="L4" i="1"/>
  <c r="K4" i="1" a="1"/>
  <c r="K4" i="1" s="1"/>
  <c r="L3" i="1"/>
  <c r="K3" i="1" a="1"/>
  <c r="K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4878C1-3D32-46A7-A99E-7A85A1995A44}" keepAlive="1" name="ThisWorkbookDataModel" description="Modello di dati"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D16A4E-5B2E-4688-9A6B-23053EF16038}" name="WorksheetConnection_Start-Data-Analysis.xlsx!Tabella2" type="102" refreshedVersion="8" minRefreshableVersion="5">
    <extLst>
      <ext xmlns:x15="http://schemas.microsoft.com/office/spreadsheetml/2010/11/main" uri="{DE250136-89BD-433C-8126-D09CA5730AF9}">
        <x15:connection id="Tabella2">
          <x15:rangePr sourceName="_xlcn.WorksheetConnection_StartDataAnalysis.xlsxTabella2"/>
        </x15:connection>
      </ext>
    </extLst>
  </connection>
  <connection id="3" xr16:uid="{ABB1B852-6E72-4CE6-8F46-57F9CC581692}" name="WorksheetConnection_Start-Data-Analysis.xlsx!Tabella3" type="102" refreshedVersion="8" minRefreshableVersion="5">
    <extLst>
      <ext xmlns:x15="http://schemas.microsoft.com/office/spreadsheetml/2010/11/main" uri="{DE250136-89BD-433C-8126-D09CA5730AF9}">
        <x15:connection id="Tabella3" autoDelete="1">
          <x15:rangePr sourceName="_xlcn.WorksheetConnection_StartDataAnalysis.xlsxTabella3"/>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0">
    <bk>
      <extLst>
        <ext uri="{3e2802c4-a4d2-4d8b-9148-e3be6c30e623}">
          <xlrd:rvb i="0"/>
        </ext>
      </extLst>
    </bk>
    <bk>
      <extLst>
        <ext uri="{3e2802c4-a4d2-4d8b-9148-e3be6c30e623}">
          <xlrd:rvb i="81"/>
        </ext>
      </extLst>
    </bk>
    <bk>
      <extLst>
        <ext uri="{3e2802c4-a4d2-4d8b-9148-e3be6c30e623}">
          <xlrd:rvb i="150"/>
        </ext>
      </extLst>
    </bk>
    <bk>
      <extLst>
        <ext uri="{3e2802c4-a4d2-4d8b-9148-e3be6c30e623}">
          <xlrd:rvb i="176"/>
        </ext>
      </extLst>
    </bk>
    <bk>
      <extLst>
        <ext uri="{3e2802c4-a4d2-4d8b-9148-e3be6c30e623}">
          <xlrd:rvb i="246"/>
        </ext>
      </extLst>
    </bk>
    <bk>
      <extLst>
        <ext uri="{3e2802c4-a4d2-4d8b-9148-e3be6c30e623}">
          <xlrd:rvb i="318"/>
        </ext>
      </extLst>
    </bk>
    <bk>
      <extLst>
        <ext uri="{3e2802c4-a4d2-4d8b-9148-e3be6c30e623}">
          <xlrd:rvb i="319"/>
        </ext>
      </extLst>
    </bk>
    <bk>
      <extLst>
        <ext uri="{3e2802c4-a4d2-4d8b-9148-e3be6c30e623}">
          <xlrd:rvb i="251"/>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5"/>
        </ext>
      </extLst>
    </bk>
    <bk>
      <extLst>
        <ext uri="{3e2802c4-a4d2-4d8b-9148-e3be6c30e623}">
          <xlrd:rvb i="526"/>
        </ext>
      </extLst>
    </bk>
    <bk>
      <extLst>
        <ext uri="{3e2802c4-a4d2-4d8b-9148-e3be6c30e623}">
          <xlrd:rvb i="529"/>
        </ext>
      </extLst>
    </bk>
    <bk>
      <extLst>
        <ext uri="{3e2802c4-a4d2-4d8b-9148-e3be6c30e623}">
          <xlrd:rvb i="593"/>
        </ext>
      </extLst>
    </bk>
    <bk>
      <extLst>
        <ext uri="{3e2802c4-a4d2-4d8b-9148-e3be6c30e623}">
          <xlrd:rvb i="595"/>
        </ext>
      </extLst>
    </bk>
    <bk>
      <extLst>
        <ext uri="{3e2802c4-a4d2-4d8b-9148-e3be6c30e623}">
          <xlrd:rvb i="632"/>
        </ext>
      </extLst>
    </bk>
    <bk>
      <extLst>
        <ext uri="{3e2802c4-a4d2-4d8b-9148-e3be6c30e623}">
          <xlrd:rvb i="634"/>
        </ext>
      </extLst>
    </bk>
    <bk>
      <extLst>
        <ext uri="{3e2802c4-a4d2-4d8b-9148-e3be6c30e623}">
          <xlrd:rvb i="668"/>
        </ext>
      </extLst>
    </bk>
    <bk>
      <extLst>
        <ext uri="{3e2802c4-a4d2-4d8b-9148-e3be6c30e623}">
          <xlrd:rvb i="670"/>
        </ext>
      </extLst>
    </bk>
  </futureMetadata>
  <futureMetadata name="XLDAPR" count="1">
    <bk>
      <extLst>
        <ext uri="{bdbb8cdc-fa1e-496e-a857-3c3f30c029c3}">
          <xda:dynamicArrayProperties fDynamic="1" fCollapsed="0"/>
        </ext>
      </extLst>
    </bk>
  </futureMetadata>
  <cellMetadata count="1">
    <bk>
      <rc t="2" v="0"/>
    </bk>
  </cell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<sst xmlns="http://schemas.openxmlformats.org/spreadsheetml/2006/main" count="2229" uniqueCount="65">
  <si>
    <t>Order ID</t>
  </si>
  <si>
    <t>Date</t>
  </si>
  <si>
    <t>Product</t>
  </si>
  <si>
    <t>Price</t>
  </si>
  <si>
    <t>Quantity</t>
  </si>
  <si>
    <t>Purchase Type</t>
  </si>
  <si>
    <t>Payment Method</t>
  </si>
  <si>
    <t>Manager</t>
  </si>
  <si>
    <t>City</t>
  </si>
  <si>
    <t>Fries</t>
  </si>
  <si>
    <t xml:space="preserve">Online </t>
  </si>
  <si>
    <t xml:space="preserve"> Gift Card</t>
  </si>
  <si>
    <t>Beverages</t>
  </si>
  <si>
    <t>Sides &amp; Other</t>
  </si>
  <si>
    <t xml:space="preserve">In-store </t>
  </si>
  <si>
    <t>Burgers</t>
  </si>
  <si>
    <t xml:space="preserve"> Credit Card</t>
  </si>
  <si>
    <t>Walter Muller</t>
  </si>
  <si>
    <t>Chicken Sandwiches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</si>
  <si>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</si>
  <si>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</si>
  <si>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</si>
  <si>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</si>
  <si>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</si>
  <si>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</si>
  <si>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</si>
  <si>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</si>
  <si>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</si>
  <si>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</si>
  <si>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</si>
  <si>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</si>
  <si>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</si>
  <si>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</si>
  <si>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</si>
  <si>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</si>
  <si>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t>Manager2</t>
  </si>
  <si>
    <t>Paese/area geografica</t>
  </si>
  <si>
    <t>Media</t>
  </si>
  <si>
    <t>Errore standard</t>
  </si>
  <si>
    <t>Mediana</t>
  </si>
  <si>
    <t>Moda</t>
  </si>
  <si>
    <t>Deviazione standard</t>
  </si>
  <si>
    <t>Varianza campionaria</t>
  </si>
  <si>
    <t>Curtosi</t>
  </si>
  <si>
    <t>Asimmetria</t>
  </si>
  <si>
    <t>Intervallo</t>
  </si>
  <si>
    <t>Minimo</t>
  </si>
  <si>
    <t>Massimo</t>
  </si>
  <si>
    <t>Somma</t>
  </si>
  <si>
    <t>Conteggio</t>
  </si>
  <si>
    <t>Prezzo</t>
  </si>
  <si>
    <t>Quantità</t>
  </si>
  <si>
    <t>Ricavo</t>
  </si>
  <si>
    <t>Etichette di riga</t>
  </si>
  <si>
    <t>Totale complessivo</t>
  </si>
  <si>
    <t>Somma di Ricavo</t>
  </si>
  <si>
    <t xml:space="preserve"> Quantity2</t>
  </si>
  <si>
    <t xml:space="preserve"> Ricavo</t>
  </si>
  <si>
    <t>Formula1</t>
  </si>
  <si>
    <t>Somma di Revenue</t>
  </si>
  <si>
    <t>TOTALE RICAVO</t>
  </si>
  <si>
    <t>Somma di Quantity2</t>
  </si>
  <si>
    <t>nov</t>
  </si>
  <si>
    <t>dic</t>
  </si>
  <si>
    <t>Etichette di colonna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</si>
</sst>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409]* #,##0.00_ ;_-[$$-409]* \-#,##0.00\ ;_-[$$-409]* &quot;-&quot;??_ ;_-@_ "/>
    <numFmt numFmtId="165" formatCode="_-[$$-409]* #,##0_ ;_-[$$-409]* \-#,##0\ ;_-[$$-409]* &quot;-&quot;??_ ;_-@_ "/>
    <numFmt numFmtId="166" formatCode="_-* #,##0_-;\-* #,##0_-;_-* &quot;-&quot;??_-;_-@_-"/>
  </numFmts>
  <fonts count="10"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43" fontId="2" fillId="0" borderId="0" applyFont="0" applyFill="0" applyBorder="0" applyAlignment="0" applyProtection="0"/>
    <xf numFmtId="0" fontId="1" fillId="0" borderId="0"/>
    <xf numFmtId="0" fontId="8" fillId="0" borderId="0" applyNumberFormat="0" applyFill="0" applyBorder="0" applyAlignment="0" applyProtection="0"/>
  </cellStyleXfs>
  <cellXfs count="29">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left"/>
    </xf>
    <xf numFmtId="165" fontId="0" fillId="0" borderId="0" xfId="0" applyNumberFormat="1"/>
    <xf numFmtId="0" fontId="4" fillId="0" borderId="2" xfId="0" applyFont="1" applyBorder="1" applyAlignment="1">
      <alignment horizontal="left"/>
    </xf>
    <xf numFmtId="165" fontId="4" fillId="0" borderId="2" xfId="0" applyNumberFormat="1" applyFont="1" applyBorder="1"/>
    <xf numFmtId="0" fontId="5" fillId="0" borderId="0" xfId="0" applyFont="1"/>
    <xf numFmtId="1" fontId="0" fillId="0" borderId="0" xfId="0" applyNumberFormat="1" applyAlignment="1">
      <alignment horizontal="center"/>
    </xf>
    <xf numFmtId="0" fontId="0" fillId="0" borderId="3" xfId="0" applyBorder="1"/>
    <xf numFmtId="0" fontId="7" fillId="0" borderId="4" xfId="0" applyFont="1" applyBorder="1" applyAlignment="1">
      <alignment horizontal="centerContinuous"/>
    </xf>
    <xf numFmtId="0" fontId="0" fillId="0" borderId="0" xfId="0" pivotButton="1"/>
    <xf numFmtId="10" fontId="0" fillId="0" borderId="0" xfId="0" applyNumberFormat="1"/>
    <xf numFmtId="14" fontId="0" fillId="0" borderId="0" xfId="0" applyNumberFormat="1"/>
    <xf numFmtId="43" fontId="0" fillId="0" borderId="0" xfId="0" applyNumberFormat="1"/>
    <xf numFmtId="166" fontId="0" fillId="0" borderId="0" xfId="0" applyNumberFormat="1"/>
    <xf numFmtId="0" fontId="0" fillId="0" borderId="0" xfId="0" applyAlignment="1">
      <alignment horizontal="left" indent="2"/>
    </xf>
    <xf numFmtId="0" fontId="3" fillId="2" borderId="0" xfId="0" applyFont="1" applyFill="1" applyAlignment="1">
      <alignment horizontal="center"/>
    </xf>
  </cellXfs>
  <cellStyles count="4">
    <cellStyle name="Hyperlink 2 2" xfId="3" xr:uid="{F249171E-1D60-42F4-A03F-480C913218A3}"/>
    <cellStyle name="Migliaia" xfId="1" builtinId="3"/>
    <cellStyle name="Normal 2" xfId="2" xr:uid="{0CD8B2A8-DB45-4C19-8BF1-7AC1BB4A4279}"/>
    <cellStyle name="Normale" xfId="0" builtinId="0"/>
  </cellStyles>
  <dxfs count="33">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19" formatCode="dd/mm/yyyy"/>
    </dxf>
    <dxf>
      <numFmt numFmtId="166" formatCode="_-* #,##0_-;\-* #,##0_-;_-* &quot;-&quot;??_-;_-@_-"/>
    </dxf>
    <dxf>
      <numFmt numFmtId="166" formatCode="_-* #,##0_-;\-* #,##0_-;_-* &quot;-&quot;??_-;_-@_-"/>
    </dxf>
    <dxf>
      <numFmt numFmtId="166"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4" formatCode="0.00%"/>
    </dxf>
    <dxf>
      <numFmt numFmtId="35" formatCode="_-* #,##0.00_-;\-* #,##0.00_-;_-* &quot;-&quot;??_-;_-@_-"/>
    </dxf>
    <dxf>
      <font>
        <b/>
        <i val="0"/>
        <strike/>
        <color theme="1"/>
      </font>
      <fill>
        <patternFill>
          <bgColor theme="5"/>
        </patternFill>
      </fill>
    </dxf>
    <dxf>
      <font>
        <b/>
        <i val="0"/>
        <strike val="0"/>
        <color theme="5" tint="0.39994506668294322"/>
      </font>
    </dxf>
  </dxfs>
  <tableStyles count="3" defaultTableStyle="TableStyleMedium2" defaultPivotStyle="PivotStyleLight16">
    <tableStyle name="Stile tabella pivot 1" table="0" count="1" xr9:uid="{0D036959-A69F-4AAC-8C02-6EA8669475B7}">
      <tableStyleElement type="totalRow" dxfId="32"/>
    </tableStyle>
    <tableStyle name="Stile tabella pivot 2" table="0" count="0" xr9:uid="{4CE4A975-BF6E-4876-B576-030D66DDBF93}"/>
    <tableStyle name="Stile tabella pivot 3" table="0" count="1" xr9:uid="{F4EF8E3A-F7E7-4602-94CC-576151D2EC7E}">
      <tableStyleElement type="totalRow"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18" Type="http://schemas.microsoft.com/office/2017/06/relationships/rdArray" Target="richData/rdarray.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06/relationships/rdRichValueStructure" Target="richData/rdrichvaluestructur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20/07/relationships/rdRichValueWebImage" Target="richData/rdRichValueWebImage.xml"/><Relationship Id="rId23" Type="http://schemas.openxmlformats.org/officeDocument/2006/relationships/powerPivotData" Target="model/item.data"/><Relationship Id="rId10" Type="http://schemas.openxmlformats.org/officeDocument/2006/relationships/theme" Target="theme/theme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eetMetadata" Target="metadata.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FastFood.xlsx]Foglio2!Tabella pivot6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3.1240237425804437E-2"/>
              <c:y val="-4.50450450450450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860356138706656E-2"/>
              <c:y val="-0.101351351351351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8.1224617307091532E-2"/>
              <c:y val="-2.25225225225225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8.7472664792252422E-2"/>
              <c:y val="8.44594594594594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7472664792252311E-2"/>
              <c:y val="9.572072072072061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717738407699037"/>
          <c:y val="9.6201516477107021E-2"/>
          <c:w val="0.48394575678040247"/>
          <c:h val="0.80657626130067073"/>
        </c:manualLayout>
      </c:layout>
      <c:doughnutChart>
        <c:varyColors val="1"/>
        <c:ser>
          <c:idx val="0"/>
          <c:order val="0"/>
          <c:tx>
            <c:strRef>
              <c:f>Foglio2!$B$13</c:f>
              <c:strCache>
                <c:ptCount val="1"/>
                <c:pt idx="0">
                  <c:v>Totale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70A-4771-B0FB-694D61C8BB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70A-4771-B0FB-694D61C8BB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0A-4771-B0FB-694D61C8BB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70A-4771-B0FB-694D61C8BB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0A-4771-B0FB-694D61C8BB69}"/>
              </c:ext>
            </c:extLst>
          </c:dPt>
          <c:dLbls>
            <c:dLbl>
              <c:idx val="0"/>
              <c:layout>
                <c:manualLayout>
                  <c:x val="3.1240237425804437E-2"/>
                  <c:y val="-4.50450450450450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70A-4771-B0FB-694D61C8BB69}"/>
                </c:ext>
              </c:extLst>
            </c:dLbl>
            <c:dLbl>
              <c:idx val="1"/>
              <c:layout>
                <c:manualLayout>
                  <c:x val="8.7472664792252311E-2"/>
                  <c:y val="9.572072072072061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70A-4771-B0FB-694D61C8BB69}"/>
                </c:ext>
              </c:extLst>
            </c:dLbl>
            <c:dLbl>
              <c:idx val="2"/>
              <c:layout>
                <c:manualLayout>
                  <c:x val="-8.7472664792252422E-2"/>
                  <c:y val="8.44594594594594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70A-4771-B0FB-694D61C8BB69}"/>
                </c:ext>
              </c:extLst>
            </c:dLbl>
            <c:dLbl>
              <c:idx val="3"/>
              <c:layout>
                <c:manualLayout>
                  <c:x val="-8.1224617307091532E-2"/>
                  <c:y val="-2.252252252252257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70A-4771-B0FB-694D61C8BB69}"/>
                </c:ext>
              </c:extLst>
            </c:dLbl>
            <c:dLbl>
              <c:idx val="4"/>
              <c:layout>
                <c:manualLayout>
                  <c:x val="-4.6860356138706656E-2"/>
                  <c:y val="-0.101351351351351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0A-4771-B0FB-694D61C8BB6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Foglio2!$A$14:$A$19</c:f>
              <c:strCache>
                <c:ptCount val="5"/>
                <c:pt idx="0">
                  <c:v>Joao Silva</c:v>
                </c:pt>
                <c:pt idx="1">
                  <c:v>Pablo Perez</c:v>
                </c:pt>
                <c:pt idx="2">
                  <c:v>Remy Monet</c:v>
                </c:pt>
                <c:pt idx="3">
                  <c:v>Tom Jackson</c:v>
                </c:pt>
                <c:pt idx="4">
                  <c:v>Walter Muller</c:v>
                </c:pt>
              </c:strCache>
            </c:strRef>
          </c:cat>
          <c:val>
            <c:numRef>
              <c:f>Foglio2!$B$14:$B$19</c:f>
              <c:numCache>
                <c:formatCode>_(* #,##0.00_);_(* \(#,##0.00\);_(* "-"??_);_(@_)</c:formatCode>
                <c:ptCount val="5"/>
                <c:pt idx="0">
                  <c:v>283555.36</c:v>
                </c:pt>
                <c:pt idx="1">
                  <c:v>136430.04000000004</c:v>
                </c:pt>
                <c:pt idx="2">
                  <c:v>79927.900000000009</c:v>
                </c:pt>
                <c:pt idx="3">
                  <c:v>211522.87999999995</c:v>
                </c:pt>
                <c:pt idx="4">
                  <c:v>100698.95000000001</c:v>
                </c:pt>
              </c:numCache>
            </c:numRef>
          </c:val>
          <c:extLst>
            <c:ext xmlns:c16="http://schemas.microsoft.com/office/drawing/2014/chart" uri="{C3380CC4-5D6E-409C-BE32-E72D297353CC}">
              <c16:uniqueId val="{00000000-070A-4771-B0FB-694D61C8BB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FastFood.xlsx]Foglio2!Tabella pivot5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Prodotto Venduti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Foglio2!$B$3</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Foglio2!$A$4:$A$9</c:f>
              <c:strCache>
                <c:ptCount val="5"/>
                <c:pt idx="0">
                  <c:v>Beverages</c:v>
                </c:pt>
                <c:pt idx="1">
                  <c:v>Fries</c:v>
                </c:pt>
                <c:pt idx="2">
                  <c:v>Burgers</c:v>
                </c:pt>
                <c:pt idx="3">
                  <c:v>Chicken Sandwiches</c:v>
                </c:pt>
                <c:pt idx="4">
                  <c:v>Sides &amp; Other</c:v>
                </c:pt>
              </c:strCache>
            </c:strRef>
          </c:cat>
          <c:val>
            <c:numRef>
              <c:f>Foglio2!$B$4:$B$9</c:f>
              <c:numCache>
                <c:formatCode>_-* #,##0_-;\-* #,##0_-;_-* "-"??_-;_-@_-</c:formatCode>
                <c:ptCount val="5"/>
                <c:pt idx="0">
                  <c:v>35666</c:v>
                </c:pt>
                <c:pt idx="1">
                  <c:v>32067</c:v>
                </c:pt>
                <c:pt idx="2">
                  <c:v>29572</c:v>
                </c:pt>
                <c:pt idx="3">
                  <c:v>11184</c:v>
                </c:pt>
                <c:pt idx="4">
                  <c:v>10050</c:v>
                </c:pt>
              </c:numCache>
            </c:numRef>
          </c:val>
          <c:extLst>
            <c:ext xmlns:c16="http://schemas.microsoft.com/office/drawing/2014/chart" uri="{C3380CC4-5D6E-409C-BE32-E72D297353CC}">
              <c16:uniqueId val="{00000000-EA0F-4F28-90F9-6A5C81AE9CB9}"/>
            </c:ext>
          </c:extLst>
        </c:ser>
        <c:dLbls>
          <c:showLegendKey val="0"/>
          <c:showVal val="0"/>
          <c:showCatName val="0"/>
          <c:showSerName val="0"/>
          <c:showPercent val="0"/>
          <c:showBubbleSize val="0"/>
        </c:dLbls>
        <c:gapWidth val="219"/>
        <c:overlap val="-27"/>
        <c:axId val="2121392256"/>
        <c:axId val="1874024864"/>
      </c:barChart>
      <c:catAx>
        <c:axId val="21213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74024864"/>
        <c:crosses val="autoZero"/>
        <c:auto val="1"/>
        <c:lblAlgn val="ctr"/>
        <c:lblOffset val="100"/>
        <c:noMultiLvlLbl val="0"/>
      </c:catAx>
      <c:valAx>
        <c:axId val="187402486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139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Analisi ricavo Nov - Dic 2022</a:t>
            </a:r>
          </a:p>
        </c:rich>
      </c:tx>
      <c:layout>
        <c:manualLayout>
          <c:xMode val="edge"/>
          <c:yMode val="edge"/>
          <c:x val="0.3653818897637795"/>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Totale</c:v>
          </c:tx>
          <c:spPr>
            <a:ln w="28575" cap="rnd">
              <a:solidFill>
                <a:schemeClr val="accent1"/>
              </a:solidFill>
              <a:round/>
            </a:ln>
            <a:effectLst/>
          </c:spPr>
          <c:marker>
            <c:symbol val="none"/>
          </c:marker>
          <c:cat>
            <c:strLit>
              <c:ptCount val="2"/>
              <c:pt idx="0">
                <c:v>nov</c:v>
              </c:pt>
              <c:pt idx="1">
                <c:v>dic</c:v>
              </c:pt>
            </c:strLit>
          </c:cat>
          <c:val>
            <c:numLit>
              <c:formatCode>General</c:formatCode>
              <c:ptCount val="2"/>
              <c:pt idx="0">
                <c:v>75073.204761904766</c:v>
              </c:pt>
              <c:pt idx="1">
                <c:v>91138.285000000003</c:v>
              </c:pt>
            </c:numLit>
          </c:val>
          <c:smooth val="0"/>
          <c:extLst>
            <c:ext xmlns:c16="http://schemas.microsoft.com/office/drawing/2014/chart" uri="{C3380CC4-5D6E-409C-BE32-E72D297353CC}">
              <c16:uniqueId val="{00000000-543F-435B-B2F1-74F555B54442}"/>
            </c:ext>
          </c:extLst>
        </c:ser>
        <c:dLbls>
          <c:showLegendKey val="0"/>
          <c:showVal val="0"/>
          <c:showCatName val="0"/>
          <c:showSerName val="0"/>
          <c:showPercent val="0"/>
          <c:showBubbleSize val="0"/>
        </c:dLbls>
        <c:smooth val="0"/>
        <c:axId val="528630031"/>
        <c:axId val="1874035424"/>
      </c:lineChart>
      <c:catAx>
        <c:axId val="5286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74035424"/>
        <c:crosses val="autoZero"/>
        <c:auto val="1"/>
        <c:lblAlgn val="ctr"/>
        <c:lblOffset val="100"/>
        <c:noMultiLvlLbl val="0"/>
      </c:catAx>
      <c:valAx>
        <c:axId val="187403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8630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FastFood.xlsx]Foglio2!Tabella pivot11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Paese con piu ricavi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Foglio2!$B$42</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Foglio2!$A$43:$A$48</c:f>
              <c:strCache>
                <c:ptCount val="5"/>
                <c:pt idx="0">
                  <c:v>France</c:v>
                </c:pt>
                <c:pt idx="1">
                  <c:v>Germany</c:v>
                </c:pt>
                <c:pt idx="2">
                  <c:v>England</c:v>
                </c:pt>
                <c:pt idx="3">
                  <c:v>Portugal</c:v>
                </c:pt>
                <c:pt idx="4">
                  <c:v>Spain</c:v>
                </c:pt>
              </c:strCache>
            </c:strRef>
          </c:cat>
          <c:val>
            <c:numRef>
              <c:f>Foglio2!$B$43:$B$48</c:f>
              <c:numCache>
                <c:formatCode>0.00%</c:formatCode>
                <c:ptCount val="5"/>
                <c:pt idx="0">
                  <c:v>9.8416996196187212E-2</c:v>
                </c:pt>
                <c:pt idx="1">
                  <c:v>0.12399285079565517</c:v>
                </c:pt>
                <c:pt idx="2">
                  <c:v>0.26045281405324744</c:v>
                </c:pt>
                <c:pt idx="3">
                  <c:v>0.34914800447063532</c:v>
                </c:pt>
                <c:pt idx="4">
                  <c:v>0.16798933448427486</c:v>
                </c:pt>
              </c:numCache>
            </c:numRef>
          </c:val>
          <c:extLst>
            <c:ext xmlns:c16="http://schemas.microsoft.com/office/drawing/2014/chart" uri="{C3380CC4-5D6E-409C-BE32-E72D297353CC}">
              <c16:uniqueId val="{00000000-2F9B-4403-A4C3-E0EC43D1EFF5}"/>
            </c:ext>
          </c:extLst>
        </c:ser>
        <c:dLbls>
          <c:showLegendKey val="0"/>
          <c:showVal val="0"/>
          <c:showCatName val="0"/>
          <c:showSerName val="0"/>
          <c:showPercent val="0"/>
          <c:showBubbleSize val="0"/>
        </c:dLbls>
        <c:gapWidth val="182"/>
        <c:axId val="528650447"/>
        <c:axId val="2059905536"/>
      </c:barChart>
      <c:catAx>
        <c:axId val="52865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59905536"/>
        <c:crosses val="autoZero"/>
        <c:auto val="1"/>
        <c:lblAlgn val="ctr"/>
        <c:lblOffset val="100"/>
        <c:noMultiLvlLbl val="0"/>
      </c:catAx>
      <c:valAx>
        <c:axId val="20599055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86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FastFood.xlsx]Foglio2!Tabella pivot12</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Vendite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2.222222222222211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8.333333333333332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1.944444444444444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marker>
          <c:symbol val="none"/>
        </c:marker>
        <c:dLbl>
          <c:idx val="0"/>
          <c:dLblPos val="bestFit"/>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marker>
          <c:symbol val="none"/>
        </c:marker>
        <c:dLbl>
          <c:idx val="0"/>
          <c:dLblPos val="bestFit"/>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dLblPos val="bestFit"/>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marker>
          <c:symbol val="none"/>
        </c:marker>
        <c:dLbl>
          <c:idx val="0"/>
          <c:dLblPos val="bestFit"/>
          <c:showLegendKey val="0"/>
          <c:showVal val="0"/>
          <c:showCatName val="1"/>
          <c:showSerName val="0"/>
          <c:showPercent val="0"/>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
        <c:dLbl>
          <c:idx val="0"/>
          <c:layout>
            <c:manualLayout>
              <c:x val="4.8274767701818842E-2"/>
              <c:y val="-8.9039631818875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34"/>
        <c:dLbl>
          <c:idx val="0"/>
          <c:layout>
            <c:manualLayout>
              <c:x val="-1.4990958894643289E-2"/>
              <c:y val="1.17190510465970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extLst>
            <c:ext xmlns:c15="http://schemas.microsoft.com/office/drawing/2012/chart" uri="{CE6537A1-D6FC-4f65-9D91-7224C49458BB}">
              <c15:xForSave val="1"/>
            </c:ext>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Foglio2!$B$57:$B$58</c:f>
              <c:strCache>
                <c:ptCount val="1"/>
                <c:pt idx="0">
                  <c:v>Remy Monet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C820-4A6D-958C-C9F0B8068AF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C820-4A6D-958C-C9F0B8068AF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C820-4A6D-958C-C9F0B8068AF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C820-4A6D-958C-C9F0B8068AF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C820-4A6D-958C-C9F0B8068AFB}"/>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820-4A6D-958C-C9F0B8068AFB}"/>
                </c:ext>
              </c:extLst>
            </c:dLbl>
            <c:dLbl>
              <c:idx val="1"/>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820-4A6D-958C-C9F0B8068AFB}"/>
                </c:ext>
              </c:extLst>
            </c:dLbl>
            <c:dLbl>
              <c:idx val="2"/>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20-4A6D-958C-C9F0B8068AFB}"/>
                </c:ext>
              </c:extLst>
            </c:dLbl>
            <c:dLbl>
              <c:idx val="3"/>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820-4A6D-958C-C9F0B8068AFB}"/>
                </c:ext>
              </c:extLst>
            </c:dLbl>
            <c:dLbl>
              <c:idx val="4"/>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820-4A6D-958C-C9F0B8068AF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t-IT"/>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Foglio2!$A$59:$A$64</c:f>
              <c:strCache>
                <c:ptCount val="5"/>
                <c:pt idx="0">
                  <c:v>Beverages</c:v>
                </c:pt>
                <c:pt idx="1">
                  <c:v>Burgers</c:v>
                </c:pt>
                <c:pt idx="2">
                  <c:v>Chicken Sandwiches</c:v>
                </c:pt>
                <c:pt idx="3">
                  <c:v>Fries</c:v>
                </c:pt>
                <c:pt idx="4">
                  <c:v>Sides &amp; Other</c:v>
                </c:pt>
              </c:strCache>
            </c:strRef>
          </c:cat>
          <c:val>
            <c:numRef>
              <c:f>Foglio2!$B$59:$B$64</c:f>
              <c:numCache>
                <c:formatCode>_-* #,##0_-;\-* #,##0_-;_-* "-"??_-;_-@_-</c:formatCode>
                <c:ptCount val="5"/>
                <c:pt idx="0">
                  <c:v>3526</c:v>
                </c:pt>
                <c:pt idx="1">
                  <c:v>3036</c:v>
                </c:pt>
                <c:pt idx="2">
                  <c:v>1212</c:v>
                </c:pt>
                <c:pt idx="3">
                  <c:v>3729</c:v>
                </c:pt>
                <c:pt idx="4">
                  <c:v>1005</c:v>
                </c:pt>
              </c:numCache>
            </c:numRef>
          </c:val>
          <c:extLst>
            <c:ext xmlns:c16="http://schemas.microsoft.com/office/drawing/2014/chart" uri="{C3380CC4-5D6E-409C-BE32-E72D297353CC}">
              <c16:uniqueId val="{0000000F-C820-4A6D-958C-C9F0B8068AFB}"/>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FastFood.xlsx]Foglio2!Tabella pivot15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Classifica dipendenti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Foglio2!$B$71</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Foglio2!$A$72:$A$75</c:f>
              <c:strCache>
                <c:ptCount val="3"/>
                <c:pt idx="0">
                  <c:v>10483</c:v>
                </c:pt>
                <c:pt idx="1">
                  <c:v>10485</c:v>
                </c:pt>
                <c:pt idx="2">
                  <c:v>10482</c:v>
                </c:pt>
              </c:strCache>
            </c:strRef>
          </c:cat>
          <c:val>
            <c:numRef>
              <c:f>Foglio2!$B$72:$B$75</c:f>
              <c:numCache>
                <c:formatCode>0.00%</c:formatCode>
                <c:ptCount val="3"/>
                <c:pt idx="0">
                  <c:v>0.39498042111041104</c:v>
                </c:pt>
                <c:pt idx="1">
                  <c:v>0.34586021484593943</c:v>
                </c:pt>
                <c:pt idx="2">
                  <c:v>0.25915936404364953</c:v>
                </c:pt>
              </c:numCache>
            </c:numRef>
          </c:val>
          <c:extLst>
            <c:ext xmlns:c16="http://schemas.microsoft.com/office/drawing/2014/chart" uri="{C3380CC4-5D6E-409C-BE32-E72D297353CC}">
              <c16:uniqueId val="{00000000-7A15-415A-8283-971418FAB82E}"/>
            </c:ext>
          </c:extLst>
        </c:ser>
        <c:dLbls>
          <c:showLegendKey val="0"/>
          <c:showVal val="0"/>
          <c:showCatName val="0"/>
          <c:showSerName val="0"/>
          <c:showPercent val="0"/>
          <c:showBubbleSize val="0"/>
        </c:dLbls>
        <c:gapWidth val="219"/>
        <c:overlap val="-27"/>
        <c:axId val="1055210879"/>
        <c:axId val="664583071"/>
      </c:barChart>
      <c:catAx>
        <c:axId val="10552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64583071"/>
        <c:crosses val="autoZero"/>
        <c:auto val="1"/>
        <c:lblAlgn val="ctr"/>
        <c:lblOffset val="100"/>
        <c:noMultiLvlLbl val="0"/>
      </c:catAx>
      <c:valAx>
        <c:axId val="664583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5521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Joao Silva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Burgers</c:v>
              </c:pt>
              <c:pt idx="2">
                <c:v>Chicken Sandwiches</c:v>
              </c:pt>
              <c:pt idx="3">
                <c:v>Fries</c:v>
              </c:pt>
              <c:pt idx="4">
                <c:v>Sides &amp; Other</c:v>
              </c:pt>
            </c:strLit>
          </c:cat>
          <c:val>
            <c:numLit>
              <c:formatCode>General</c:formatCode>
              <c:ptCount val="5"/>
              <c:pt idx="0">
                <c:v>12070</c:v>
              </c:pt>
              <c:pt idx="1">
                <c:v>8907</c:v>
              </c:pt>
              <c:pt idx="2">
                <c:v>3310</c:v>
              </c:pt>
              <c:pt idx="3">
                <c:v>9693</c:v>
              </c:pt>
              <c:pt idx="4">
                <c:v>3216</c:v>
              </c:pt>
            </c:numLit>
          </c:val>
          <c:extLst>
            <c:ext xmlns:c16="http://schemas.microsoft.com/office/drawing/2014/chart" uri="{C3380CC4-5D6E-409C-BE32-E72D297353CC}">
              <c16:uniqueId val="{00000000-3AE9-4A73-BB56-0CFBBA5F80D2}"/>
            </c:ext>
          </c:extLst>
        </c:ser>
        <c:ser>
          <c:idx val="1"/>
          <c:order val="1"/>
          <c:tx>
            <c:v>Pablo Perez</c:v>
          </c:tx>
          <c:spPr>
            <a:solidFill>
              <a:schemeClr val="accent2"/>
            </a:solidFill>
            <a:ln>
              <a:noFill/>
            </a:ln>
            <a:effectLst/>
          </c:spPr>
          <c:invertIfNegative val="0"/>
          <c:cat>
            <c:strLit>
              <c:ptCount val="5"/>
              <c:pt idx="0">
                <c:v>Beverages</c:v>
              </c:pt>
              <c:pt idx="1">
                <c:v>Burgers</c:v>
              </c:pt>
              <c:pt idx="2">
                <c:v>Chicken Sandwiches</c:v>
              </c:pt>
              <c:pt idx="3">
                <c:v>Fries</c:v>
              </c:pt>
              <c:pt idx="4">
                <c:v>Sides &amp; Other</c:v>
              </c:pt>
            </c:strLit>
          </c:cat>
          <c:val>
            <c:numLit>
              <c:formatCode>General</c:formatCode>
              <c:ptCount val="5"/>
              <c:pt idx="0">
                <c:v>6238</c:v>
              </c:pt>
              <c:pt idx="1">
                <c:v>5673</c:v>
              </c:pt>
              <c:pt idx="2">
                <c:v>1818</c:v>
              </c:pt>
              <c:pt idx="3">
                <c:v>4934</c:v>
              </c:pt>
              <c:pt idx="4">
                <c:v>1809</c:v>
              </c:pt>
            </c:numLit>
          </c:val>
          <c:extLst>
            <c:ext xmlns:c16="http://schemas.microsoft.com/office/drawing/2014/chart" uri="{C3380CC4-5D6E-409C-BE32-E72D297353CC}">
              <c16:uniqueId val="{00000001-3AE9-4A73-BB56-0CFBBA5F80D2}"/>
            </c:ext>
          </c:extLst>
        </c:ser>
        <c:ser>
          <c:idx val="2"/>
          <c:order val="2"/>
          <c:tx>
            <c:v>Remy Monet</c:v>
          </c:tx>
          <c:spPr>
            <a:solidFill>
              <a:schemeClr val="accent3"/>
            </a:solidFill>
            <a:ln>
              <a:noFill/>
            </a:ln>
            <a:effectLst/>
          </c:spPr>
          <c:invertIfNegative val="0"/>
          <c:cat>
            <c:strLit>
              <c:ptCount val="5"/>
              <c:pt idx="0">
                <c:v>Beverages</c:v>
              </c:pt>
              <c:pt idx="1">
                <c:v>Burgers</c:v>
              </c:pt>
              <c:pt idx="2">
                <c:v>Chicken Sandwiches</c:v>
              </c:pt>
              <c:pt idx="3">
                <c:v>Fries</c:v>
              </c:pt>
              <c:pt idx="4">
                <c:v>Sides &amp; Other</c:v>
              </c:pt>
            </c:strLit>
          </c:cat>
          <c:val>
            <c:numLit>
              <c:formatCode>General</c:formatCode>
              <c:ptCount val="5"/>
              <c:pt idx="0">
                <c:v>3526</c:v>
              </c:pt>
              <c:pt idx="1">
                <c:v>3036</c:v>
              </c:pt>
              <c:pt idx="2">
                <c:v>1212</c:v>
              </c:pt>
              <c:pt idx="3">
                <c:v>3729</c:v>
              </c:pt>
              <c:pt idx="4">
                <c:v>1005</c:v>
              </c:pt>
            </c:numLit>
          </c:val>
          <c:extLst>
            <c:ext xmlns:c16="http://schemas.microsoft.com/office/drawing/2014/chart" uri="{C3380CC4-5D6E-409C-BE32-E72D297353CC}">
              <c16:uniqueId val="{00000002-3AE9-4A73-BB56-0CFBBA5F80D2}"/>
            </c:ext>
          </c:extLst>
        </c:ser>
        <c:ser>
          <c:idx val="3"/>
          <c:order val="3"/>
          <c:tx>
            <c:v>Tom Jackson</c:v>
          </c:tx>
          <c:spPr>
            <a:solidFill>
              <a:schemeClr val="accent4"/>
            </a:solidFill>
            <a:ln>
              <a:noFill/>
            </a:ln>
            <a:effectLst/>
          </c:spPr>
          <c:invertIfNegative val="0"/>
          <c:cat>
            <c:strLit>
              <c:ptCount val="5"/>
              <c:pt idx="0">
                <c:v>Beverages</c:v>
              </c:pt>
              <c:pt idx="1">
                <c:v>Burgers</c:v>
              </c:pt>
              <c:pt idx="2">
                <c:v>Chicken Sandwiches</c:v>
              </c:pt>
              <c:pt idx="3">
                <c:v>Fries</c:v>
              </c:pt>
              <c:pt idx="4">
                <c:v>Sides &amp; Other</c:v>
              </c:pt>
            </c:strLit>
          </c:cat>
          <c:val>
            <c:numLit>
              <c:formatCode>General</c:formatCode>
              <c:ptCount val="5"/>
              <c:pt idx="0">
                <c:v>9764</c:v>
              </c:pt>
              <c:pt idx="1">
                <c:v>7843</c:v>
              </c:pt>
              <c:pt idx="2">
                <c:v>3232</c:v>
              </c:pt>
              <c:pt idx="3">
                <c:v>9925</c:v>
              </c:pt>
              <c:pt idx="4">
                <c:v>2814</c:v>
              </c:pt>
            </c:numLit>
          </c:val>
          <c:extLst>
            <c:ext xmlns:c16="http://schemas.microsoft.com/office/drawing/2014/chart" uri="{C3380CC4-5D6E-409C-BE32-E72D297353CC}">
              <c16:uniqueId val="{00000003-3AE9-4A73-BB56-0CFBBA5F80D2}"/>
            </c:ext>
          </c:extLst>
        </c:ser>
        <c:ser>
          <c:idx val="4"/>
          <c:order val="4"/>
          <c:tx>
            <c:v>Walter Muller</c:v>
          </c:tx>
          <c:spPr>
            <a:solidFill>
              <a:schemeClr val="accent5"/>
            </a:solidFill>
            <a:ln>
              <a:noFill/>
            </a:ln>
            <a:effectLst/>
          </c:spPr>
          <c:invertIfNegative val="0"/>
          <c:cat>
            <c:strLit>
              <c:ptCount val="5"/>
              <c:pt idx="0">
                <c:v>Beverages</c:v>
              </c:pt>
              <c:pt idx="1">
                <c:v>Burgers</c:v>
              </c:pt>
              <c:pt idx="2">
                <c:v>Chicken Sandwiches</c:v>
              </c:pt>
              <c:pt idx="3">
                <c:v>Fries</c:v>
              </c:pt>
              <c:pt idx="4">
                <c:v>Sides &amp; Other</c:v>
              </c:pt>
            </c:strLit>
          </c:cat>
          <c:val>
            <c:numLit>
              <c:formatCode>General</c:formatCode>
              <c:ptCount val="5"/>
              <c:pt idx="0">
                <c:v>4068</c:v>
              </c:pt>
              <c:pt idx="1">
                <c:v>4113</c:v>
              </c:pt>
              <c:pt idx="2">
                <c:v>1612</c:v>
              </c:pt>
              <c:pt idx="3">
                <c:v>3786</c:v>
              </c:pt>
              <c:pt idx="4">
                <c:v>1206</c:v>
              </c:pt>
            </c:numLit>
          </c:val>
          <c:extLst>
            <c:ext xmlns:c16="http://schemas.microsoft.com/office/drawing/2014/chart" uri="{C3380CC4-5D6E-409C-BE32-E72D297353CC}">
              <c16:uniqueId val="{00000004-3AE9-4A73-BB56-0CFBBA5F80D2}"/>
            </c:ext>
          </c:extLst>
        </c:ser>
        <c:dLbls>
          <c:showLegendKey val="0"/>
          <c:showVal val="0"/>
          <c:showCatName val="0"/>
          <c:showSerName val="0"/>
          <c:showPercent val="0"/>
          <c:showBubbleSize val="0"/>
        </c:dLbls>
        <c:gapWidth val="219"/>
        <c:overlap val="-27"/>
        <c:axId val="1063284063"/>
        <c:axId val="2059907936"/>
      </c:barChart>
      <c:catAx>
        <c:axId val="10632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59907936"/>
        <c:crosses val="autoZero"/>
        <c:auto val="1"/>
        <c:lblAlgn val="ctr"/>
        <c:lblOffset val="100"/>
        <c:noMultiLvlLbl val="0"/>
        <c:extLst/>
      </c:catAx>
      <c:valAx>
        <c:axId val="205990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63284063"/>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 FastFood.xlsx]Clean!Tabella pivot13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Clean!$P$8</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t-I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Clean!$O$9:$O$14</c:f>
              <c:strCache>
                <c:ptCount val="5"/>
                <c:pt idx="0">
                  <c:v>France</c:v>
                </c:pt>
                <c:pt idx="1">
                  <c:v>Germany</c:v>
                </c:pt>
                <c:pt idx="2">
                  <c:v>Portugal</c:v>
                </c:pt>
                <c:pt idx="3">
                  <c:v>Spain</c:v>
                </c:pt>
                <c:pt idx="4">
                  <c:v>United Kingdom</c:v>
                </c:pt>
              </c:strCache>
            </c:strRef>
          </c:cat>
          <c:val>
            <c:numRef>
              <c:f>Clean!$P$9:$P$14</c:f>
              <c:numCache>
                <c:formatCode>0.00%</c:formatCode>
                <c:ptCount val="5"/>
                <c:pt idx="0">
                  <c:v>9.18847278500311E-2</c:v>
                </c:pt>
                <c:pt idx="1">
                  <c:v>0.13324447411154738</c:v>
                </c:pt>
                <c:pt idx="2">
                  <c:v>0.34119018411086327</c:v>
                </c:pt>
                <c:pt idx="3">
                  <c:v>0.17004330213800573</c:v>
                </c:pt>
                <c:pt idx="4">
                  <c:v>0.26363731178955241</c:v>
                </c:pt>
              </c:numCache>
            </c:numRef>
          </c:val>
          <c:extLst>
            <c:ext xmlns:c16="http://schemas.microsoft.com/office/drawing/2014/chart" uri="{C3380CC4-5D6E-409C-BE32-E72D297353CC}">
              <c16:uniqueId val="{00000000-D9BF-4C8E-A166-C3B9E52E14FA}"/>
            </c:ext>
          </c:extLst>
        </c:ser>
        <c:dLbls>
          <c:dLblPos val="ctr"/>
          <c:showLegendKey val="0"/>
          <c:showVal val="1"/>
          <c:showCatName val="0"/>
          <c:showSerName val="0"/>
          <c:showPercent val="0"/>
          <c:showBubbleSize val="0"/>
        </c:dLbls>
        <c:gapWidth val="79"/>
        <c:overlap val="100"/>
        <c:axId val="286370559"/>
        <c:axId val="286373439"/>
      </c:barChart>
      <c:catAx>
        <c:axId val="28637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it-IT"/>
          </a:p>
        </c:txPr>
        <c:crossAx val="286373439"/>
        <c:crosses val="autoZero"/>
        <c:auto val="1"/>
        <c:lblAlgn val="ctr"/>
        <c:lblOffset val="100"/>
        <c:noMultiLvlLbl val="0"/>
      </c:catAx>
      <c:valAx>
        <c:axId val="286373439"/>
        <c:scaling>
          <c:orientation val="minMax"/>
        </c:scaling>
        <c:delete val="1"/>
        <c:axPos val="b"/>
        <c:numFmt formatCode="m/d/yyyy" sourceLinked="0"/>
        <c:majorTickMark val="none"/>
        <c:minorTickMark val="none"/>
        <c:tickLblPos val="none"/>
        <c:crossAx val="28637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179070</xdr:colOff>
      <xdr:row>11</xdr:row>
      <xdr:rowOff>152400</xdr:rowOff>
    </xdr:from>
    <xdr:to>
      <xdr:col>10</xdr:col>
      <xdr:colOff>220980</xdr:colOff>
      <xdr:row>23</xdr:row>
      <xdr:rowOff>30480</xdr:rowOff>
    </xdr:to>
    <xdr:graphicFrame macro="">
      <xdr:nvGraphicFramePr>
        <xdr:cNvPr id="2" name="Grafico 1">
          <a:extLst>
            <a:ext uri="{FF2B5EF4-FFF2-40B4-BE49-F238E27FC236}">
              <a16:creationId xmlns:a16="http://schemas.microsoft.com/office/drawing/2014/main" id="{DE57D50E-0AFC-2ACB-8EC9-08BFDC388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491490</xdr:colOff>
      <xdr:row>0</xdr:row>
      <xdr:rowOff>22860</xdr:rowOff>
    </xdr:from>
    <xdr:to>
      <xdr:col>8</xdr:col>
      <xdr:colOff>617220</xdr:colOff>
      <xdr:row>11</xdr:row>
      <xdr:rowOff>91440</xdr:rowOff>
    </xdr:to>
    <xdr:graphicFrame macro="">
      <xdr:nvGraphicFramePr>
        <xdr:cNvPr id="3" name="Grafico 2">
          <a:extLst>
            <a:ext uri="{FF2B5EF4-FFF2-40B4-BE49-F238E27FC236}">
              <a16:creationId xmlns:a16="http://schemas.microsoft.com/office/drawing/2014/main" id="{D68C6A30-E922-33AC-B384-046173C03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xdr:colOff>
      <xdr:row>23</xdr:row>
      <xdr:rowOff>175260</xdr:rowOff>
    </xdr:from>
    <xdr:to>
      <xdr:col>11</xdr:col>
      <xdr:colOff>617220</xdr:colOff>
      <xdr:row>39</xdr:row>
      <xdr:rowOff>38100</xdr:rowOff>
    </xdr:to>
    <xdr:graphicFrame macro="">
      <xdr:nvGraphicFramePr>
        <xdr:cNvPr id="4" name="Grafico 3">
          <a:extLst>
            <a:ext uri="{FF2B5EF4-FFF2-40B4-BE49-F238E27FC236}">
              <a16:creationId xmlns:a16="http://schemas.microsoft.com/office/drawing/2014/main" id="{14049300-E387-9FD1-BF4B-2CA10079B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666750</xdr:colOff>
      <xdr:row>40</xdr:row>
      <xdr:rowOff>182880</xdr:rowOff>
    </xdr:from>
    <xdr:to>
      <xdr:col>9</xdr:col>
      <xdr:colOff>544830</xdr:colOff>
      <xdr:row>54</xdr:row>
      <xdr:rowOff>152400</xdr:rowOff>
    </xdr:to>
    <xdr:graphicFrame macro="">
      <xdr:nvGraphicFramePr>
        <xdr:cNvPr id="5" name="Grafico 4">
          <a:extLst>
            <a:ext uri="{FF2B5EF4-FFF2-40B4-BE49-F238E27FC236}">
              <a16:creationId xmlns:a16="http://schemas.microsoft.com/office/drawing/2014/main" id="{72A2AE4B-4B81-7611-0324-9341B86C1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80010</xdr:colOff>
      <xdr:row>55</xdr:row>
      <xdr:rowOff>160020</xdr:rowOff>
    </xdr:from>
    <xdr:to>
      <xdr:col>11</xdr:col>
      <xdr:colOff>198120</xdr:colOff>
      <xdr:row>69</xdr:row>
      <xdr:rowOff>137160</xdr:rowOff>
    </xdr:to>
    <xdr:graphicFrame macro="">
      <xdr:nvGraphicFramePr>
        <xdr:cNvPr id="6" name="Grafico 5">
          <a:extLst>
            <a:ext uri="{FF2B5EF4-FFF2-40B4-BE49-F238E27FC236}">
              <a16:creationId xmlns:a16="http://schemas.microsoft.com/office/drawing/2014/main" id="{512CD546-9A49-C511-A549-3890A6A5D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838200</xdr:colOff>
      <xdr:row>70</xdr:row>
      <xdr:rowOff>152400</xdr:rowOff>
    </xdr:from>
    <xdr:to>
      <xdr:col>7</xdr:col>
      <xdr:colOff>982980</xdr:colOff>
      <xdr:row>84</xdr:row>
      <xdr:rowOff>121920</xdr:rowOff>
    </xdr:to>
    <xdr:graphicFrame macro="">
      <xdr:nvGraphicFramePr>
        <xdr:cNvPr id="9" name="Grafico 8">
          <a:extLst>
            <a:ext uri="{FF2B5EF4-FFF2-40B4-BE49-F238E27FC236}">
              <a16:creationId xmlns:a16="http://schemas.microsoft.com/office/drawing/2014/main" id="{AF9CA972-6310-4358-9E43-7AFE54A1D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811530</xdr:colOff>
      <xdr:row>85</xdr:row>
      <xdr:rowOff>190500</xdr:rowOff>
    </xdr:from>
    <xdr:to>
      <xdr:col>8</xdr:col>
      <xdr:colOff>396240</xdr:colOff>
      <xdr:row>102</xdr:row>
      <xdr:rowOff>91440</xdr:rowOff>
    </xdr:to>
    <xdr:graphicFrame macro="">
      <xdr:nvGraphicFramePr>
        <xdr:cNvPr id="8" name="Grafico 10">
          <a:extLst>
            <a:ext uri="{FF2B5EF4-FFF2-40B4-BE49-F238E27FC236}">
              <a16:creationId xmlns:a16="http://schemas.microsoft.com/office/drawing/2014/main" id="{0FBD1B99-E3E1-95E4-20C5-DF4D0BD7C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8466</xdr:colOff>
      <xdr:row>1</xdr:row>
      <xdr:rowOff>160868</xdr:rowOff>
    </xdr:from>
    <xdr:to>
      <xdr:col>22</xdr:col>
      <xdr:colOff>522959</xdr:colOff>
      <xdr:row>15</xdr:row>
      <xdr:rowOff>169572</xdr:rowOff>
    </xdr:to>
    <xdr:pic>
      <xdr:nvPicPr>
        <xdr:cNvPr id="6" name="Immagine 5">
          <a:extLst>
            <a:ext uri="{FF2B5EF4-FFF2-40B4-BE49-F238E27FC236}">
              <a16:creationId xmlns:a16="http://schemas.microsoft.com/office/drawing/2014/main" id="{D89BE8C3-3B46-DB51-AC3E-CF66A6446580}"/>
            </a:ext>
          </a:extLst>
        </xdr:cNvPr>
        <xdr:cNvPicPr>
          <a:picLocks noChangeAspect="1"/>
        </xdr:cNvPicPr>
      </xdr:nvPicPr>
      <xdr:blipFill>
        <a:blip xmlns:r="http://schemas.openxmlformats.org/officeDocument/2006/relationships" r:embed="rId1"/>
        <a:stretch>
          <a:fillRect/>
        </a:stretch>
      </xdr:blipFill>
      <xdr:spPr>
        <a:xfrm>
          <a:off x="18635133" y="355601"/>
          <a:ext cx="4578493" cy="27434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346710</xdr:colOff>
      <xdr:row>16</xdr:row>
      <xdr:rowOff>114300</xdr:rowOff>
    </xdr:from>
    <xdr:to>
      <xdr:col>18</xdr:col>
      <xdr:colOff>560070</xdr:colOff>
      <xdr:row>30</xdr:row>
      <xdr:rowOff>83820</xdr:rowOff>
    </xdr:to>
    <xdr:graphicFrame macro="">
      <xdr:nvGraphicFramePr>
        <xdr:cNvPr id="2" name="Grafico 1">
          <a:extLst>
            <a:ext uri="{FF2B5EF4-FFF2-40B4-BE49-F238E27FC236}">
              <a16:creationId xmlns:a16="http://schemas.microsoft.com/office/drawing/2014/main" id="{9BF27FCC-8979-B1A8-BF6F-67C39A092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_rels/pivotCacheDefinition2.xml.rels><?xml version="1.0" encoding="UTF-8" standalone="yes"?>
<Relationships xmlns="http://schemas.openxmlformats.org/package/2006/relationships"><Relationship Id="rId1" Type="http://schemas.openxmlformats.org/officeDocument/2006/relationships/richPivotRecords" Target="richPivot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federica Secci" refreshedDate="46101.64904733796" createdVersion="8" refreshedVersion="8" minRefreshableVersion="3" recordCount="257" xr:uid="{2E4902D1-FA6B-40BA-A79E-21C13339BDEE}">
  <cacheSource type="worksheet">
    <worksheetSource name="Tabella2"/>
  </cacheSource>
  <cacheFields count="11">
    <cacheField name="Order ID" numFmtId="0">
      <sharedItems containsSemiMixedTypes="0" containsString="0" containsNumber="1" containsInteger="1" minValue="10452" maxValue="10713" count="254">
        <n v="10452"/>
        <n v="10453"/>
        <n v="10454"/>
        <n v="10455"/>
        <n v="10456"/>
        <n v="10457"/>
        <n v="10459"/>
        <n v="10460"/>
        <n v="10461"/>
        <n v="10462"/>
        <n v="10463"/>
        <n v="10464"/>
        <n v="10465"/>
        <n v="10466"/>
        <n v="10467"/>
        <n v="10468"/>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sharedItems>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ount="3">
        <s v="Online "/>
        <s v="In-store "/>
        <s v="Drive-thru "/>
      </sharedItems>
    </cacheField>
    <cacheField name="Payment Method" numFmtId="0">
      <sharedItems count="3">
        <s v=" Gift Card"/>
        <s v=" Credit Card"/>
        <s v=" Cash"/>
      </sharedItems>
    </cacheField>
    <cacheField name="Manager2" numFmtId="0">
      <sharedItems count="6">
        <s v="Tom Jackson"/>
        <s v="Pablo Perez"/>
        <s v="Joao Silva"/>
        <s v="Walter Muller"/>
        <s v="Remy Monet"/>
        <s v="Formula1" f="1"/>
      </sharedItems>
    </cacheField>
    <cacheField name="Quantity2" numFmtId="0">
      <sharedItems containsSemiMixedTypes="0" containsString="0" containsNumber="1" containsInteger="1" minValue="201" maxValue="755" count="28">
        <n v="574"/>
        <n v="746"/>
        <n v="201"/>
        <n v="570"/>
        <n v="202"/>
        <n v="555"/>
        <n v="678"/>
        <n v="631"/>
        <n v="524"/>
        <n v="509"/>
        <n v="539"/>
        <n v="688"/>
        <n v="478"/>
        <n v="493"/>
        <n v="462"/>
        <n v="447"/>
        <n v="586"/>
        <n v="222"/>
        <n v="601"/>
        <n v="632"/>
        <n v="647"/>
        <n v="242"/>
        <n v="262"/>
        <n v="693"/>
        <n v="282"/>
        <n v="724"/>
        <n v="302"/>
        <n v="755"/>
      </sharedItems>
    </cacheField>
    <cacheField name="City" numFmtId="0">
      <sharedItems count="5">
        <s v="Londra"/>
        <s v="Madrid"/>
        <s v="Lisbona"/>
        <s v="Berlino"/>
        <s v="Parigi"/>
      </sharedItems>
    </cacheField>
    <cacheField name="Paese/area geografica" numFmtId="0">
      <sharedItems count="5">
        <s v="England"/>
        <s v="Spain"/>
        <s v="Portugal"/>
        <s v="Germany"/>
        <s v="France"/>
      </sharedItems>
    </cacheField>
    <cacheField name="Ricavo" numFmtId="0">
      <sharedItems containsSemiMixedTypes="0" containsString="0" containsNumber="1" minValue="1002.99" maxValue="22523.16" count="34">
        <n v="2003.2600000000002"/>
        <n v="2200.7000000000003"/>
        <n v="1002.99"/>
        <n v="7404.3"/>
        <n v="2009.8999999999999"/>
        <n v="7209.45"/>
        <n v="2000.1000000000001"/>
        <n v="2202.19"/>
        <n v="6806.76"/>
        <n v="6611.91"/>
        <n v="16090.5"/>
        <n v="22523.16"/>
        <n v="4309.4400000000005"/>
        <n v="14666.759999999998"/>
        <n v="5868.1"/>
        <n v="7001.61"/>
        <n v="2401.1200000000003"/>
        <n v="6209.22"/>
        <n v="6404.07"/>
        <n v="6001.38"/>
        <n v="5806.53"/>
        <n v="7612.14"/>
        <n v="2208.8999999999996"/>
        <n v="7806.99"/>
        <n v="8209.68"/>
        <n v="8404.5300000000007"/>
        <n v="8807.2199999999993"/>
        <n v="2407.8999999999996"/>
        <n v="2606.8999999999996"/>
        <n v="9002.07"/>
        <n v="2805.8999999999996"/>
        <n v="9404.76"/>
        <n v="3004.8999999999996"/>
        <n v="9807.4500000000007"/>
      </sharedItems>
    </cacheField>
  </cacheFields>
  <calculatedItems count="1">
    <calculatedItem>
      <pivotArea cacheIndex="1" outline="0" fieldPosition="0">
        <references count="1">
          <reference field="6" count="1">
            <x v="5"/>
          </reference>
        </references>
      </pivotArea>
    </calculatedItem>
  </calculatedItem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2E4902D1-FA6B-40BA-A79E-21C13339BDEE}" pivotIgnoreInvalidCache="1" r:id="r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federica Secci" refreshedDate="46101.669771412038" createdVersion="8" refreshedVersion="8" minRefreshableVersion="3" recordCount="254" xr:uid="{45D996CC-D6E7-44C2-9260-04B9E4281C9B}">
  <cacheSource type="worksheet">
    <worksheetSource name="Table1"/>
  </cacheSource>
  <cacheFields count="14">
    <cacheField name="Order ID" numFmtId="0">
      <sharedItems containsSemiMixedTypes="0" containsString="0" containsNumber="1" containsInteger="1" minValue="10452" maxValue="10713" count="254">
        <n v="10452"/>
        <n v="10453"/>
        <n v="10454"/>
        <n v="10455"/>
        <n v="10456"/>
        <n v="10457"/>
        <n v="10459"/>
        <n v="10460"/>
        <n v="10461"/>
        <n v="10462"/>
        <n v="10463"/>
        <n v="10464"/>
        <n v="10465"/>
        <n v="10466"/>
        <n v="10467"/>
        <n v="10468"/>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sharedItems>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3"/>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Quantity" numFmtId="1">
      <sharedItems containsSemiMixedTypes="0" containsString="0" containsNumber="1" containsInteger="1" minValue="201" maxValue="755"/>
    </cacheField>
    <cacheField name="Cost" numFmtId="0">
      <sharedItems containsSemiMixedTypes="0" containsString="0" containsNumber="1" minValue="0.47" maxValue="4.32"/>
    </cacheField>
    <cacheField name="City" numFmtId="0">
      <sharedItems count="5">
        <s v="London"/>
        <s v="Madrid"/>
        <s v="Lisbon"/>
        <s v="Berlin"/>
        <s v="Paris"/>
      </sharedItems>
    </cacheField>
    <cacheField name="Country" numFmtId="0">
      <sharedItems count="5">
        <s v="United Kingdom"/>
        <s v="Spain"/>
        <s v="Portugal"/>
        <s v="Germany"/>
        <s v="France"/>
      </sharedItems>
    </cacheField>
    <cacheField name="Purchase Type" numFmtId="0">
      <sharedItems/>
    </cacheField>
    <cacheField name="Payment Method" numFmtId="0">
      <sharedItems/>
    </cacheField>
    <cacheField name="Manager" numFmtId="0">
      <sharedItems/>
    </cacheField>
    <cacheField name="Revenue" numFmtId="0">
      <sharedItems containsSemiMixedTypes="0" containsString="0" containsNumber="1" minValue="1002.99" maxValue="22523.16"/>
    </cacheField>
    <cacheField name="Giorni (Date)" numFmtId="0" databaseField="0">
      <fieldGroup base="1">
        <rangePr groupBy="days" startDate="2022-11-07T00:00:00" endDate="2022-12-30T00:00:00"/>
        <groupItems count="368">
          <s v="&lt;07/11/2022"/>
          <s v="01-gen"/>
          <s v="02-gen"/>
          <s v="03-gen"/>
          <s v="04-gen"/>
          <s v="05-gen"/>
          <s v="06-gen"/>
          <s v="07-gen"/>
          <s v="08-gen"/>
          <s v="09-gen"/>
          <s v="10-gen"/>
          <s v="11-gen"/>
          <s v="12-gen"/>
          <s v="13-gen"/>
          <s v="14-gen"/>
          <s v="15-gen"/>
          <s v="16-gen"/>
          <s v="17-gen"/>
          <s v="18-gen"/>
          <s v="19-gen"/>
          <s v="20-gen"/>
          <s v="21-gen"/>
          <s v="22-gen"/>
          <s v="23-gen"/>
          <s v="24-gen"/>
          <s v="25-gen"/>
          <s v="26-gen"/>
          <s v="27-gen"/>
          <s v="28-gen"/>
          <s v="29-gen"/>
          <s v="30-gen"/>
          <s v="31-ge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g"/>
          <s v="02-mag"/>
          <s v="03-mag"/>
          <s v="04-mag"/>
          <s v="05-mag"/>
          <s v="06-mag"/>
          <s v="07-mag"/>
          <s v="08-mag"/>
          <s v="09-mag"/>
          <s v="10-mag"/>
          <s v="11-mag"/>
          <s v="12-mag"/>
          <s v="13-mag"/>
          <s v="14-mag"/>
          <s v="15-mag"/>
          <s v="16-mag"/>
          <s v="17-mag"/>
          <s v="18-mag"/>
          <s v="19-mag"/>
          <s v="20-mag"/>
          <s v="21-mag"/>
          <s v="22-mag"/>
          <s v="23-mag"/>
          <s v="24-mag"/>
          <s v="25-mag"/>
          <s v="26-mag"/>
          <s v="27-mag"/>
          <s v="28-mag"/>
          <s v="29-mag"/>
          <s v="30-mag"/>
          <s v="31-mag"/>
          <s v="01-giu"/>
          <s v="02-giu"/>
          <s v="03-giu"/>
          <s v="04-giu"/>
          <s v="05-giu"/>
          <s v="06-giu"/>
          <s v="07-giu"/>
          <s v="08-giu"/>
          <s v="09-giu"/>
          <s v="10-giu"/>
          <s v="11-giu"/>
          <s v="12-giu"/>
          <s v="13-giu"/>
          <s v="14-giu"/>
          <s v="15-giu"/>
          <s v="16-giu"/>
          <s v="17-giu"/>
          <s v="18-giu"/>
          <s v="19-giu"/>
          <s v="20-giu"/>
          <s v="21-giu"/>
          <s v="22-giu"/>
          <s v="23-giu"/>
          <s v="24-giu"/>
          <s v="25-giu"/>
          <s v="26-giu"/>
          <s v="27-giu"/>
          <s v="28-giu"/>
          <s v="29-giu"/>
          <s v="30-giu"/>
          <s v="01-lug"/>
          <s v="02-lug"/>
          <s v="03-lug"/>
          <s v="04-lug"/>
          <s v="05-lug"/>
          <s v="06-lug"/>
          <s v="07-lug"/>
          <s v="08-lug"/>
          <s v="09-lug"/>
          <s v="10-lug"/>
          <s v="11-lug"/>
          <s v="12-lug"/>
          <s v="13-lug"/>
          <s v="14-lug"/>
          <s v="15-lug"/>
          <s v="16-lug"/>
          <s v="17-lug"/>
          <s v="18-lug"/>
          <s v="19-lug"/>
          <s v="20-lug"/>
          <s v="21-lug"/>
          <s v="22-lug"/>
          <s v="23-lug"/>
          <s v="24-lug"/>
          <s v="25-lug"/>
          <s v="26-lug"/>
          <s v="27-lug"/>
          <s v="28-lug"/>
          <s v="29-lug"/>
          <s v="30-lug"/>
          <s v="31-lug"/>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tt"/>
          <s v="02-ott"/>
          <s v="03-ott"/>
          <s v="04-ott"/>
          <s v="05-ott"/>
          <s v="06-ott"/>
          <s v="07-ott"/>
          <s v="08-ott"/>
          <s v="09-ott"/>
          <s v="10-ott"/>
          <s v="11-ott"/>
          <s v="12-ott"/>
          <s v="13-ott"/>
          <s v="14-ott"/>
          <s v="15-ott"/>
          <s v="16-ott"/>
          <s v="17-ott"/>
          <s v="18-ott"/>
          <s v="19-ott"/>
          <s v="20-ott"/>
          <s v="21-ott"/>
          <s v="22-ott"/>
          <s v="23-ott"/>
          <s v="24-ott"/>
          <s v="25-ott"/>
          <s v="26-ott"/>
          <s v="27-ott"/>
          <s v="28-ott"/>
          <s v="29-ott"/>
          <s v="30-ott"/>
          <s v="31-ot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30/12/2022"/>
        </groupItems>
      </fieldGroup>
    </cacheField>
    <cacheField name="Mesi (Date)" numFmtId="0" databaseField="0">
      <fieldGroup base="1">
        <rangePr groupBy="months" startDate="2022-11-07T00:00:00" endDate="2022-12-30T00:00:00"/>
        <groupItems count="14">
          <s v="&lt;07/11/2022"/>
          <s v="gen"/>
          <s v="feb"/>
          <s v="mar"/>
          <s v="apr"/>
          <s v="mag"/>
          <s v="giu"/>
          <s v="lug"/>
          <s v="ago"/>
          <s v="set"/>
          <s v="ott"/>
          <s v="nov"/>
          <s v="dic"/>
          <s v="&gt;30/12/2022"/>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45D996CC-D6E7-44C2-9260-04B9E4281C9B}" pivotIgnoreInvalidCache="1" r:id="r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derica Secci" refreshedDate="46238.816169444442" backgroundQuery="1" createdVersion="8" refreshedVersion="8" minRefreshableVersion="3" recordCount="0" supportSubquery="1" supportAdvancedDrill="1" xr:uid="{C14BFF04-8B36-4E53-9673-E85EED62A0EE}">
  <cacheSource type="external" connectionId="1"/>
  <cacheFields count="3">
    <cacheField name="[Tabella3].[Date].[Date]" caption="Date" numFmtId="0" hierarchy="11" level="1">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cacheField>
    <cacheField name="[Tabella3].[Date (mese)].[Date (mese)]" caption="Date (mese)" numFmtId="0" hierarchy="13" level="1">
      <sharedItems count="2">
        <s v="nov"/>
        <s v="dic"/>
      </sharedItems>
    </cacheField>
    <cacheField name="[Measures].[Somma di Ricavo]" caption="Somma di Ricavo" numFmtId="0" hierarchy="18" level="32767"/>
  </cacheFields>
  <cacheHierarchies count="20">
    <cacheHierarchy uniqueName="[Tabella2].[Order ID]" caption="Order ID" attribute="1" defaultMemberUniqueName="[Tabella2].[Order ID].[All]" allUniqueName="[Tabella2].[Order ID].[All]" dimensionUniqueName="[Tabella2]" displayFolder="" count="0" memberValueDatatype="20" unbalanced="0"/>
    <cacheHierarchy uniqueName="[Tabella2].[Date]" caption="Date" attribute="1" time="1" defaultMemberUniqueName="[Tabella2].[Date].[All]" allUniqueName="[Tabella2].[Date].[All]" dimensionUniqueName="[Tabella2]" displayFolder="" count="0" memberValueDatatype="7" unbalanced="0"/>
    <cacheHierarchy uniqueName="[Tabella2].[Product]" caption="Product" attribute="1" defaultMemberUniqueName="[Tabella2].[Product].[All]" allUniqueName="[Tabella2].[Product].[All]" dimensionUniqueName="[Tabella2]" displayFolder="" count="0" memberValueDatatype="130" unbalanced="0"/>
    <cacheHierarchy uniqueName="[Tabella2].[Price]" caption="Price" attribute="1" defaultMemberUniqueName="[Tabella2].[Price].[All]" allUniqueName="[Tabella2].[Price].[All]" dimensionUniqueName="[Tabella2]" displayFolder="" count="0" memberValueDatatype="5" unbalanced="0"/>
    <cacheHierarchy uniqueName="[Tabella2].[Purchase Type]" caption="Purchase Type" attribute="1" defaultMemberUniqueName="[Tabella2].[Purchase Type].[All]" allUniqueName="[Tabella2].[Purchase Type].[All]" dimensionUniqueName="[Tabella2]" displayFolder="" count="0" memberValueDatatype="130" unbalanced="0"/>
    <cacheHierarchy uniqueName="[Tabella2].[Payment Method]" caption="Payment Method" attribute="1" defaultMemberUniqueName="[Tabella2].[Payment Method].[All]" allUniqueName="[Tabella2].[Payment Method].[All]" dimensionUniqueName="[Tabella2]" displayFolder="" count="0" memberValueDatatype="130" unbalanced="0"/>
    <cacheHierarchy uniqueName="[Tabella2].[Manager2]" caption="Manager2" attribute="1" defaultMemberUniqueName="[Tabella2].[Manager2].[All]" allUniqueName="[Tabella2].[Manager2].[All]" dimensionUniqueName="[Tabella2]" displayFolder="" count="0" memberValueDatatype="130" unbalanced="0"/>
    <cacheHierarchy uniqueName="[Tabella2].[Quantity]" caption="Quantity" attribute="1" defaultMemberUniqueName="[Tabella2].[Quantity].[All]" allUniqueName="[Tabella2].[Quantity].[All]" dimensionUniqueName="[Tabella2]" displayFolder="" count="0" memberValueDatatype="20" unbalanced="0"/>
    <cacheHierarchy uniqueName="[Tabella2].[City]" caption="City" attribute="1" defaultMemberUniqueName="[Tabella2].[City].[All]" allUniqueName="[Tabella2].[City].[All]" dimensionUniqueName="[Tabella2]" displayFolder="" count="0" memberValueDatatype="130" unbalanced="0"/>
    <cacheHierarchy uniqueName="[Tabella2].[Paese/area geografica]" caption="Paese/area geografica" attribute="1" defaultMemberUniqueName="[Tabella2].[Paese/area geografica].[All]" allUniqueName="[Tabella2].[Paese/area geografica].[All]" dimensionUniqueName="[Tabella2]" displayFolder="" count="0" memberValueDatatype="130" unbalanced="0"/>
    <cacheHierarchy uniqueName="[Tabella2].[Ricavo]" caption="Ricavo" attribute="1" defaultMemberUniqueName="[Tabella2].[Ricavo].[All]" allUniqueName="[Tabella2].[Ricavo].[All]" dimensionUniqueName="[Tabella2]" displayFolder="" count="0" memberValueDatatype="5" unbalanced="0"/>
    <cacheHierarchy uniqueName="[Tabella3].[Date]" caption="Date" attribute="1" time="1" defaultMemberUniqueName="[Tabella3].[Date].[All]" allUniqueName="[Tabella3].[Date].[All]" dimensionUniqueName="[Tabella3]" displayFolder="" count="2" memberValueDatatype="7" unbalanced="0">
      <fieldsUsage count="2">
        <fieldUsage x="-1"/>
        <fieldUsage x="0"/>
      </fieldsUsage>
    </cacheHierarchy>
    <cacheHierarchy uniqueName="[Tabella3].[Ricavo]" caption="Ricavo" attribute="1" defaultMemberUniqueName="[Tabella3].[Ricavo].[All]" allUniqueName="[Tabella3].[Ricavo].[All]" dimensionUniqueName="[Tabella3]" displayFolder="" count="0" memberValueDatatype="5" unbalanced="0"/>
    <cacheHierarchy uniqueName="[Tabella3].[Date (mese)]" caption="Date (mese)" attribute="1" defaultMemberUniqueName="[Tabella3].[Date (mese)].[All]" allUniqueName="[Tabella3].[Date (mese)].[All]" dimensionUniqueName="[Tabella3]" displayFolder="" count="2" memberValueDatatype="130" unbalanced="0">
      <fieldsUsage count="2">
        <fieldUsage x="-1"/>
        <fieldUsage x="1"/>
      </fieldsUsage>
    </cacheHierarchy>
    <cacheHierarchy uniqueName="[Tabella3].[Date (indice mese)]" caption="Date (indice mese)" attribute="1" defaultMemberUniqueName="[Tabella3].[Date (indice mese)].[All]" allUniqueName="[Tabella3].[Date (indice mese)].[All]" dimensionUniqueName="[Tabella3]" displayFolder="" count="0" memberValueDatatype="20" unbalanced="0" hidden="1"/>
    <cacheHierarchy uniqueName="[Measures].[__XL_Count Tabella3]" caption="__XL_Count Tabella3" measure="1" displayFolder="" measureGroup="Tabella3" count="0" hidden="1"/>
    <cacheHierarchy uniqueName="[Measures].[__XL_Count Tabella2]" caption="__XL_Count Tabella2" measure="1" displayFolder="" measureGroup="Tabella2" count="0" hidden="1"/>
    <cacheHierarchy uniqueName="[Measures].[__Nessuna misura definita]" caption="__Nessuna misura definita" measure="1" displayFolder="" count="0" hidden="1"/>
    <cacheHierarchy uniqueName="[Measures].[Somma di Ricavo]" caption="Somma di Ricavo" measure="1" displayFolder="" measureGroup="Tabella3" count="0" oneField="1" hidden="1">
      <fieldsUsage count="1">
        <fieldUsage x="2"/>
      </fieldsUsage>
      <extLst>
        <ext xmlns:x15="http://schemas.microsoft.com/office/spreadsheetml/2010/11/main" uri="{B97F6D7D-B522-45F9-BDA1-12C45D357490}">
          <x15:cacheHierarchy aggregatedColumn="12"/>
        </ext>
      </extLst>
    </cacheHierarchy>
    <cacheHierarchy uniqueName="[Measures].[Somma di Quantity]" caption="Somma di Quantity" measure="1" displayFolder="" measureGroup="Tabella2"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ella2" uniqueName="[Tabella2]" caption="Tabella2"/>
    <dimension name="Tabella3" uniqueName="[Tabella3]" caption="Tabella3"/>
  </dimensions>
  <measureGroups count="2">
    <measureGroup name="Tabella2" caption="Tabella2"/>
    <measureGroup name="Tabella3" caption="Tabella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x v="0"/>
    <d v="2022-11-07T00:00:00"/>
    <x v="0"/>
    <n v="3.49"/>
    <x v="0"/>
    <x v="0"/>
    <x v="0"/>
    <x v="0"/>
    <x v="0"/>
    <x v="0"/>
    <x v="0"/>
  </r>
  <r>
    <x v="1"/>
    <d v="2022-11-07T00:00:00"/>
    <x v="1"/>
    <n v="2.95"/>
    <x v="0"/>
    <x v="0"/>
    <x v="1"/>
    <x v="1"/>
    <x v="1"/>
    <x v="1"/>
    <x v="1"/>
  </r>
  <r>
    <x v="2"/>
    <d v="2022-11-07T00:00:00"/>
    <x v="2"/>
    <n v="4.99"/>
    <x v="1"/>
    <x v="0"/>
    <x v="2"/>
    <x v="2"/>
    <x v="2"/>
    <x v="2"/>
    <x v="2"/>
  </r>
  <r>
    <x v="3"/>
    <d v="2022-11-08T00:00:00"/>
    <x v="3"/>
    <n v="12.99"/>
    <x v="1"/>
    <x v="1"/>
    <x v="3"/>
    <x v="3"/>
    <x v="3"/>
    <x v="3"/>
    <x v="3"/>
  </r>
  <r>
    <x v="4"/>
    <d v="2022-11-08T00:00:00"/>
    <x v="4"/>
    <n v="9.9499999999999993"/>
    <x v="1"/>
    <x v="1"/>
    <x v="3"/>
    <x v="4"/>
    <x v="3"/>
    <x v="3"/>
    <x v="4"/>
  </r>
  <r>
    <x v="5"/>
    <d v="2022-11-08T00:00:00"/>
    <x v="0"/>
    <n v="3.49"/>
    <x v="1"/>
    <x v="1"/>
    <x v="4"/>
    <x v="0"/>
    <x v="4"/>
    <x v="4"/>
    <x v="0"/>
  </r>
  <r>
    <x v="6"/>
    <d v="2022-11-08T00:00:00"/>
    <x v="2"/>
    <n v="4.99"/>
    <x v="1"/>
    <x v="1"/>
    <x v="3"/>
    <x v="2"/>
    <x v="3"/>
    <x v="3"/>
    <x v="2"/>
  </r>
  <r>
    <x v="7"/>
    <d v="2022-11-09T00:00:00"/>
    <x v="3"/>
    <n v="12.99"/>
    <x v="1"/>
    <x v="1"/>
    <x v="4"/>
    <x v="5"/>
    <x v="4"/>
    <x v="4"/>
    <x v="5"/>
  </r>
  <r>
    <x v="8"/>
    <d v="2022-11-09T00:00:00"/>
    <x v="4"/>
    <n v="9.9499999999999993"/>
    <x v="1"/>
    <x v="1"/>
    <x v="4"/>
    <x v="4"/>
    <x v="4"/>
    <x v="4"/>
    <x v="4"/>
  </r>
  <r>
    <x v="9"/>
    <d v="2022-11-09T00:00:00"/>
    <x v="0"/>
    <n v="3.49"/>
    <x v="1"/>
    <x v="1"/>
    <x v="4"/>
    <x v="0"/>
    <x v="4"/>
    <x v="4"/>
    <x v="0"/>
  </r>
  <r>
    <x v="10"/>
    <d v="2022-11-09T00:00:00"/>
    <x v="1"/>
    <n v="2.95"/>
    <x v="1"/>
    <x v="1"/>
    <x v="4"/>
    <x v="6"/>
    <x v="4"/>
    <x v="4"/>
    <x v="6"/>
  </r>
  <r>
    <x v="11"/>
    <d v="2022-11-09T00:00:00"/>
    <x v="2"/>
    <n v="4.99"/>
    <x v="1"/>
    <x v="1"/>
    <x v="4"/>
    <x v="2"/>
    <x v="4"/>
    <x v="4"/>
    <x v="2"/>
  </r>
  <r>
    <x v="12"/>
    <d v="2022-11-10T00:00:00"/>
    <x v="3"/>
    <n v="12.99"/>
    <x v="1"/>
    <x v="1"/>
    <x v="1"/>
    <x v="5"/>
    <x v="1"/>
    <x v="1"/>
    <x v="5"/>
  </r>
  <r>
    <x v="13"/>
    <d v="2022-11-10T00:00:00"/>
    <x v="4"/>
    <n v="9.9499999999999993"/>
    <x v="1"/>
    <x v="1"/>
    <x v="1"/>
    <x v="4"/>
    <x v="1"/>
    <x v="1"/>
    <x v="4"/>
  </r>
  <r>
    <x v="14"/>
    <d v="2022-11-10T00:00:00"/>
    <x v="0"/>
    <n v="3.49"/>
    <x v="1"/>
    <x v="1"/>
    <x v="1"/>
    <x v="0"/>
    <x v="1"/>
    <x v="1"/>
    <x v="0"/>
  </r>
  <r>
    <x v="15"/>
    <d v="2022-11-10T00:00:00"/>
    <x v="1"/>
    <n v="2.95"/>
    <x v="1"/>
    <x v="1"/>
    <x v="1"/>
    <x v="6"/>
    <x v="1"/>
    <x v="1"/>
    <x v="6"/>
  </r>
  <r>
    <x v="16"/>
    <d v="2022-11-11T00:00:00"/>
    <x v="3"/>
    <n v="12.99"/>
    <x v="1"/>
    <x v="1"/>
    <x v="1"/>
    <x v="5"/>
    <x v="1"/>
    <x v="1"/>
    <x v="5"/>
  </r>
  <r>
    <x v="17"/>
    <d v="2022-11-11T00:00:00"/>
    <x v="4"/>
    <n v="9.9499999999999993"/>
    <x v="1"/>
    <x v="1"/>
    <x v="1"/>
    <x v="4"/>
    <x v="1"/>
    <x v="1"/>
    <x v="4"/>
  </r>
  <r>
    <x v="18"/>
    <d v="2022-11-11T00:00:00"/>
    <x v="0"/>
    <n v="3.49"/>
    <x v="1"/>
    <x v="1"/>
    <x v="1"/>
    <x v="7"/>
    <x v="1"/>
    <x v="1"/>
    <x v="7"/>
  </r>
  <r>
    <x v="19"/>
    <d v="2022-11-11T00:00:00"/>
    <x v="1"/>
    <n v="2.95"/>
    <x v="1"/>
    <x v="1"/>
    <x v="1"/>
    <x v="6"/>
    <x v="1"/>
    <x v="1"/>
    <x v="6"/>
  </r>
  <r>
    <x v="20"/>
    <d v="2022-11-11T00:00:00"/>
    <x v="2"/>
    <n v="4.99"/>
    <x v="1"/>
    <x v="1"/>
    <x v="1"/>
    <x v="2"/>
    <x v="1"/>
    <x v="1"/>
    <x v="2"/>
  </r>
  <r>
    <x v="21"/>
    <d v="2022-11-12T00:00:00"/>
    <x v="3"/>
    <n v="12.99"/>
    <x v="1"/>
    <x v="1"/>
    <x v="1"/>
    <x v="8"/>
    <x v="1"/>
    <x v="1"/>
    <x v="8"/>
  </r>
  <r>
    <x v="22"/>
    <d v="2022-11-12T00:00:00"/>
    <x v="4"/>
    <n v="9.9499999999999993"/>
    <x v="1"/>
    <x v="1"/>
    <x v="1"/>
    <x v="4"/>
    <x v="1"/>
    <x v="1"/>
    <x v="4"/>
  </r>
  <r>
    <x v="23"/>
    <d v="2022-11-12T00:00:00"/>
    <x v="0"/>
    <n v="3.49"/>
    <x v="1"/>
    <x v="1"/>
    <x v="1"/>
    <x v="7"/>
    <x v="1"/>
    <x v="1"/>
    <x v="7"/>
  </r>
  <r>
    <x v="24"/>
    <d v="2022-11-12T00:00:00"/>
    <x v="1"/>
    <n v="2.95"/>
    <x v="1"/>
    <x v="1"/>
    <x v="1"/>
    <x v="6"/>
    <x v="1"/>
    <x v="1"/>
    <x v="6"/>
  </r>
  <r>
    <x v="25"/>
    <d v="2022-11-12T00:00:00"/>
    <x v="2"/>
    <n v="4.99"/>
    <x v="1"/>
    <x v="1"/>
    <x v="1"/>
    <x v="2"/>
    <x v="1"/>
    <x v="1"/>
    <x v="2"/>
  </r>
  <r>
    <x v="26"/>
    <d v="2022-11-13T00:00:00"/>
    <x v="3"/>
    <n v="12.99"/>
    <x v="1"/>
    <x v="1"/>
    <x v="1"/>
    <x v="9"/>
    <x v="1"/>
    <x v="1"/>
    <x v="9"/>
  </r>
  <r>
    <x v="27"/>
    <d v="2022-11-13T00:00:00"/>
    <x v="4"/>
    <n v="9.9499999999999993"/>
    <x v="1"/>
    <x v="1"/>
    <x v="1"/>
    <x v="4"/>
    <x v="1"/>
    <x v="1"/>
    <x v="4"/>
  </r>
  <r>
    <x v="28"/>
    <d v="2022-11-13T00:00:00"/>
    <x v="0"/>
    <n v="25.5"/>
    <x v="1"/>
    <x v="1"/>
    <x v="2"/>
    <x v="7"/>
    <x v="2"/>
    <x v="2"/>
    <x v="10"/>
  </r>
  <r>
    <x v="29"/>
    <d v="2022-11-13T00:00:00"/>
    <x v="1"/>
    <n v="33.22"/>
    <x v="1"/>
    <x v="1"/>
    <x v="2"/>
    <x v="6"/>
    <x v="2"/>
    <x v="2"/>
    <x v="11"/>
  </r>
  <r>
    <x v="30"/>
    <d v="2022-11-13T00:00:00"/>
    <x v="2"/>
    <n v="21.44"/>
    <x v="1"/>
    <x v="1"/>
    <x v="2"/>
    <x v="2"/>
    <x v="2"/>
    <x v="2"/>
    <x v="12"/>
  </r>
  <r>
    <x v="31"/>
    <d v="2022-11-14T00:00:00"/>
    <x v="3"/>
    <n v="27.99"/>
    <x v="1"/>
    <x v="1"/>
    <x v="2"/>
    <x v="8"/>
    <x v="2"/>
    <x v="2"/>
    <x v="13"/>
  </r>
  <r>
    <x v="32"/>
    <d v="2022-11-14T00:00:00"/>
    <x v="4"/>
    <n v="29.05"/>
    <x v="1"/>
    <x v="1"/>
    <x v="2"/>
    <x v="4"/>
    <x v="2"/>
    <x v="2"/>
    <x v="14"/>
  </r>
  <r>
    <x v="33"/>
    <d v="2022-11-14T00:00:00"/>
    <x v="0"/>
    <n v="3.49"/>
    <x v="1"/>
    <x v="1"/>
    <x v="2"/>
    <x v="7"/>
    <x v="2"/>
    <x v="2"/>
    <x v="7"/>
  </r>
  <r>
    <x v="34"/>
    <d v="2022-11-14T00:00:00"/>
    <x v="1"/>
    <n v="2.95"/>
    <x v="1"/>
    <x v="1"/>
    <x v="2"/>
    <x v="6"/>
    <x v="2"/>
    <x v="2"/>
    <x v="6"/>
  </r>
  <r>
    <x v="35"/>
    <d v="2022-11-14T00:00:00"/>
    <x v="2"/>
    <n v="4.99"/>
    <x v="1"/>
    <x v="1"/>
    <x v="1"/>
    <x v="2"/>
    <x v="1"/>
    <x v="1"/>
    <x v="2"/>
  </r>
  <r>
    <x v="36"/>
    <d v="2022-11-15T00:00:00"/>
    <x v="3"/>
    <n v="12.99"/>
    <x v="1"/>
    <x v="1"/>
    <x v="1"/>
    <x v="9"/>
    <x v="1"/>
    <x v="1"/>
    <x v="9"/>
  </r>
  <r>
    <x v="37"/>
    <d v="2022-11-15T00:00:00"/>
    <x v="4"/>
    <n v="9.9499999999999993"/>
    <x v="1"/>
    <x v="1"/>
    <x v="1"/>
    <x v="4"/>
    <x v="1"/>
    <x v="1"/>
    <x v="4"/>
  </r>
  <r>
    <x v="38"/>
    <d v="2022-11-15T00:00:00"/>
    <x v="0"/>
    <n v="3.49"/>
    <x v="1"/>
    <x v="1"/>
    <x v="1"/>
    <x v="0"/>
    <x v="1"/>
    <x v="1"/>
    <x v="0"/>
  </r>
  <r>
    <x v="39"/>
    <d v="2022-11-15T00:00:00"/>
    <x v="1"/>
    <n v="2.95"/>
    <x v="1"/>
    <x v="1"/>
    <x v="1"/>
    <x v="6"/>
    <x v="1"/>
    <x v="1"/>
    <x v="6"/>
  </r>
  <r>
    <x v="40"/>
    <d v="2022-11-15T00:00:00"/>
    <x v="2"/>
    <n v="4.99"/>
    <x v="1"/>
    <x v="1"/>
    <x v="1"/>
    <x v="2"/>
    <x v="1"/>
    <x v="1"/>
    <x v="2"/>
  </r>
  <r>
    <x v="41"/>
    <d v="2022-11-16T00:00:00"/>
    <x v="3"/>
    <n v="12.99"/>
    <x v="1"/>
    <x v="1"/>
    <x v="1"/>
    <x v="9"/>
    <x v="1"/>
    <x v="1"/>
    <x v="9"/>
  </r>
  <r>
    <x v="42"/>
    <d v="2022-11-16T00:00:00"/>
    <x v="4"/>
    <n v="9.9499999999999993"/>
    <x v="1"/>
    <x v="1"/>
    <x v="1"/>
    <x v="4"/>
    <x v="1"/>
    <x v="1"/>
    <x v="4"/>
  </r>
  <r>
    <x v="43"/>
    <d v="2022-11-16T00:00:00"/>
    <x v="0"/>
    <n v="3.49"/>
    <x v="1"/>
    <x v="1"/>
    <x v="1"/>
    <x v="0"/>
    <x v="1"/>
    <x v="1"/>
    <x v="0"/>
  </r>
  <r>
    <x v="44"/>
    <d v="2022-11-16T00:00:00"/>
    <x v="1"/>
    <n v="2.95"/>
    <x v="2"/>
    <x v="1"/>
    <x v="1"/>
    <x v="6"/>
    <x v="1"/>
    <x v="1"/>
    <x v="6"/>
  </r>
  <r>
    <x v="45"/>
    <d v="2022-11-16T00:00:00"/>
    <x v="2"/>
    <n v="4.99"/>
    <x v="2"/>
    <x v="1"/>
    <x v="1"/>
    <x v="2"/>
    <x v="1"/>
    <x v="1"/>
    <x v="2"/>
  </r>
  <r>
    <x v="46"/>
    <d v="2022-11-17T00:00:00"/>
    <x v="3"/>
    <n v="12.99"/>
    <x v="2"/>
    <x v="1"/>
    <x v="1"/>
    <x v="8"/>
    <x v="1"/>
    <x v="1"/>
    <x v="8"/>
  </r>
  <r>
    <x v="47"/>
    <d v="2022-11-17T00:00:00"/>
    <x v="4"/>
    <n v="9.9499999999999993"/>
    <x v="2"/>
    <x v="1"/>
    <x v="1"/>
    <x v="4"/>
    <x v="1"/>
    <x v="1"/>
    <x v="4"/>
  </r>
  <r>
    <x v="48"/>
    <d v="2022-11-17T00:00:00"/>
    <x v="0"/>
    <n v="3.49"/>
    <x v="2"/>
    <x v="1"/>
    <x v="1"/>
    <x v="7"/>
    <x v="1"/>
    <x v="1"/>
    <x v="7"/>
  </r>
  <r>
    <x v="49"/>
    <d v="2022-11-17T00:00:00"/>
    <x v="1"/>
    <n v="2.95"/>
    <x v="2"/>
    <x v="1"/>
    <x v="1"/>
    <x v="6"/>
    <x v="1"/>
    <x v="1"/>
    <x v="6"/>
  </r>
  <r>
    <x v="50"/>
    <d v="2022-11-17T00:00:00"/>
    <x v="2"/>
    <n v="4.99"/>
    <x v="2"/>
    <x v="1"/>
    <x v="1"/>
    <x v="2"/>
    <x v="1"/>
    <x v="1"/>
    <x v="2"/>
  </r>
  <r>
    <x v="51"/>
    <d v="2022-11-18T00:00:00"/>
    <x v="3"/>
    <n v="12.99"/>
    <x v="2"/>
    <x v="1"/>
    <x v="1"/>
    <x v="10"/>
    <x v="1"/>
    <x v="1"/>
    <x v="15"/>
  </r>
  <r>
    <x v="52"/>
    <d v="2022-11-18T00:00:00"/>
    <x v="4"/>
    <n v="9.9499999999999993"/>
    <x v="2"/>
    <x v="1"/>
    <x v="1"/>
    <x v="4"/>
    <x v="1"/>
    <x v="1"/>
    <x v="4"/>
  </r>
  <r>
    <x v="53"/>
    <d v="2022-11-18T00:00:00"/>
    <x v="0"/>
    <n v="3.49"/>
    <x v="2"/>
    <x v="1"/>
    <x v="1"/>
    <x v="11"/>
    <x v="1"/>
    <x v="1"/>
    <x v="16"/>
  </r>
  <r>
    <x v="54"/>
    <d v="2022-11-18T00:00:00"/>
    <x v="1"/>
    <n v="2.95"/>
    <x v="2"/>
    <x v="1"/>
    <x v="1"/>
    <x v="6"/>
    <x v="1"/>
    <x v="1"/>
    <x v="6"/>
  </r>
  <r>
    <x v="55"/>
    <d v="2022-11-18T00:00:00"/>
    <x v="2"/>
    <n v="4.99"/>
    <x v="2"/>
    <x v="1"/>
    <x v="1"/>
    <x v="2"/>
    <x v="1"/>
    <x v="1"/>
    <x v="2"/>
  </r>
  <r>
    <x v="56"/>
    <d v="2022-11-19T00:00:00"/>
    <x v="3"/>
    <n v="12.99"/>
    <x v="2"/>
    <x v="1"/>
    <x v="1"/>
    <x v="9"/>
    <x v="1"/>
    <x v="1"/>
    <x v="9"/>
  </r>
  <r>
    <x v="57"/>
    <d v="2022-11-19T00:00:00"/>
    <x v="4"/>
    <n v="9.9499999999999993"/>
    <x v="2"/>
    <x v="1"/>
    <x v="2"/>
    <x v="4"/>
    <x v="2"/>
    <x v="2"/>
    <x v="4"/>
  </r>
  <r>
    <x v="58"/>
    <d v="2022-11-19T00:00:00"/>
    <x v="0"/>
    <n v="3.49"/>
    <x v="2"/>
    <x v="1"/>
    <x v="2"/>
    <x v="11"/>
    <x v="2"/>
    <x v="2"/>
    <x v="16"/>
  </r>
  <r>
    <x v="59"/>
    <d v="2022-11-19T00:00:00"/>
    <x v="1"/>
    <n v="2.95"/>
    <x v="2"/>
    <x v="2"/>
    <x v="2"/>
    <x v="6"/>
    <x v="2"/>
    <x v="2"/>
    <x v="6"/>
  </r>
  <r>
    <x v="60"/>
    <d v="2022-11-19T00:00:00"/>
    <x v="2"/>
    <n v="4.99"/>
    <x v="2"/>
    <x v="2"/>
    <x v="2"/>
    <x v="2"/>
    <x v="2"/>
    <x v="2"/>
    <x v="2"/>
  </r>
  <r>
    <x v="61"/>
    <d v="2022-11-20T00:00:00"/>
    <x v="3"/>
    <n v="12.99"/>
    <x v="2"/>
    <x v="2"/>
    <x v="2"/>
    <x v="12"/>
    <x v="2"/>
    <x v="2"/>
    <x v="17"/>
  </r>
  <r>
    <x v="62"/>
    <d v="2022-11-20T00:00:00"/>
    <x v="4"/>
    <n v="9.9499999999999993"/>
    <x v="2"/>
    <x v="2"/>
    <x v="2"/>
    <x v="4"/>
    <x v="2"/>
    <x v="2"/>
    <x v="4"/>
  </r>
  <r>
    <x v="29"/>
    <d v="2022-11-13T00:00:00"/>
    <x v="1"/>
    <n v="2.95"/>
    <x v="1"/>
    <x v="1"/>
    <x v="2"/>
    <x v="6"/>
    <x v="2"/>
    <x v="2"/>
    <x v="6"/>
  </r>
  <r>
    <x v="30"/>
    <d v="2022-11-13T00:00:00"/>
    <x v="2"/>
    <n v="4.99"/>
    <x v="1"/>
    <x v="1"/>
    <x v="2"/>
    <x v="2"/>
    <x v="2"/>
    <x v="2"/>
    <x v="2"/>
  </r>
  <r>
    <x v="31"/>
    <d v="2022-11-14T00:00:00"/>
    <x v="3"/>
    <n v="12.99"/>
    <x v="1"/>
    <x v="1"/>
    <x v="2"/>
    <x v="8"/>
    <x v="2"/>
    <x v="2"/>
    <x v="8"/>
  </r>
  <r>
    <x v="63"/>
    <d v="2022-11-21T00:00:00"/>
    <x v="3"/>
    <n v="12.99"/>
    <x v="2"/>
    <x v="2"/>
    <x v="4"/>
    <x v="13"/>
    <x v="4"/>
    <x v="4"/>
    <x v="18"/>
  </r>
  <r>
    <x v="64"/>
    <d v="2022-11-21T00:00:00"/>
    <x v="4"/>
    <n v="9.9499999999999993"/>
    <x v="2"/>
    <x v="2"/>
    <x v="4"/>
    <x v="4"/>
    <x v="4"/>
    <x v="4"/>
    <x v="4"/>
  </r>
  <r>
    <x v="65"/>
    <d v="2022-11-21T00:00:00"/>
    <x v="0"/>
    <n v="3.49"/>
    <x v="2"/>
    <x v="2"/>
    <x v="4"/>
    <x v="11"/>
    <x v="4"/>
    <x v="4"/>
    <x v="16"/>
  </r>
  <r>
    <x v="66"/>
    <d v="2022-11-21T00:00:00"/>
    <x v="1"/>
    <n v="2.95"/>
    <x v="2"/>
    <x v="2"/>
    <x v="4"/>
    <x v="1"/>
    <x v="4"/>
    <x v="4"/>
    <x v="1"/>
  </r>
  <r>
    <x v="67"/>
    <d v="2022-11-21T00:00:00"/>
    <x v="2"/>
    <n v="4.99"/>
    <x v="2"/>
    <x v="2"/>
    <x v="4"/>
    <x v="2"/>
    <x v="4"/>
    <x v="4"/>
    <x v="2"/>
  </r>
  <r>
    <x v="68"/>
    <d v="2022-11-22T00:00:00"/>
    <x v="3"/>
    <n v="12.99"/>
    <x v="2"/>
    <x v="2"/>
    <x v="4"/>
    <x v="14"/>
    <x v="4"/>
    <x v="4"/>
    <x v="19"/>
  </r>
  <r>
    <x v="69"/>
    <d v="2022-11-22T00:00:00"/>
    <x v="4"/>
    <n v="9.9499999999999993"/>
    <x v="2"/>
    <x v="2"/>
    <x v="4"/>
    <x v="4"/>
    <x v="4"/>
    <x v="4"/>
    <x v="4"/>
  </r>
  <r>
    <x v="70"/>
    <d v="2022-11-22T00:00:00"/>
    <x v="0"/>
    <n v="3.49"/>
    <x v="2"/>
    <x v="2"/>
    <x v="4"/>
    <x v="11"/>
    <x v="4"/>
    <x v="4"/>
    <x v="16"/>
  </r>
  <r>
    <x v="71"/>
    <d v="2022-11-22T00:00:00"/>
    <x v="1"/>
    <n v="2.95"/>
    <x v="2"/>
    <x v="2"/>
    <x v="4"/>
    <x v="1"/>
    <x v="4"/>
    <x v="4"/>
    <x v="1"/>
  </r>
  <r>
    <x v="72"/>
    <d v="2022-11-22T00:00:00"/>
    <x v="2"/>
    <n v="4.99"/>
    <x v="2"/>
    <x v="2"/>
    <x v="4"/>
    <x v="2"/>
    <x v="4"/>
    <x v="4"/>
    <x v="2"/>
  </r>
  <r>
    <x v="73"/>
    <d v="2022-11-23T00:00:00"/>
    <x v="3"/>
    <n v="12.99"/>
    <x v="2"/>
    <x v="2"/>
    <x v="4"/>
    <x v="12"/>
    <x v="4"/>
    <x v="4"/>
    <x v="17"/>
  </r>
  <r>
    <x v="74"/>
    <d v="2022-11-23T00:00:00"/>
    <x v="4"/>
    <n v="9.9499999999999993"/>
    <x v="2"/>
    <x v="2"/>
    <x v="4"/>
    <x v="4"/>
    <x v="4"/>
    <x v="4"/>
    <x v="4"/>
  </r>
  <r>
    <x v="75"/>
    <d v="2022-11-23T00:00:00"/>
    <x v="0"/>
    <n v="3.49"/>
    <x v="2"/>
    <x v="2"/>
    <x v="2"/>
    <x v="11"/>
    <x v="2"/>
    <x v="2"/>
    <x v="16"/>
  </r>
  <r>
    <x v="76"/>
    <d v="2022-11-23T00:00:00"/>
    <x v="1"/>
    <n v="2.95"/>
    <x v="2"/>
    <x v="2"/>
    <x v="2"/>
    <x v="1"/>
    <x v="2"/>
    <x v="2"/>
    <x v="1"/>
  </r>
  <r>
    <x v="77"/>
    <d v="2022-11-23T00:00:00"/>
    <x v="2"/>
    <n v="4.99"/>
    <x v="2"/>
    <x v="2"/>
    <x v="1"/>
    <x v="2"/>
    <x v="1"/>
    <x v="1"/>
    <x v="2"/>
  </r>
  <r>
    <x v="78"/>
    <d v="2022-11-24T00:00:00"/>
    <x v="3"/>
    <n v="12.99"/>
    <x v="2"/>
    <x v="1"/>
    <x v="1"/>
    <x v="12"/>
    <x v="1"/>
    <x v="1"/>
    <x v="17"/>
  </r>
  <r>
    <x v="79"/>
    <d v="2022-11-24T00:00:00"/>
    <x v="4"/>
    <n v="9.9499999999999993"/>
    <x v="2"/>
    <x v="1"/>
    <x v="1"/>
    <x v="4"/>
    <x v="1"/>
    <x v="1"/>
    <x v="4"/>
  </r>
  <r>
    <x v="80"/>
    <d v="2022-11-24T00:00:00"/>
    <x v="0"/>
    <n v="3.49"/>
    <x v="2"/>
    <x v="1"/>
    <x v="1"/>
    <x v="7"/>
    <x v="1"/>
    <x v="1"/>
    <x v="7"/>
  </r>
  <r>
    <x v="81"/>
    <d v="2022-11-24T00:00:00"/>
    <x v="1"/>
    <n v="2.95"/>
    <x v="2"/>
    <x v="1"/>
    <x v="1"/>
    <x v="1"/>
    <x v="1"/>
    <x v="1"/>
    <x v="1"/>
  </r>
  <r>
    <x v="82"/>
    <d v="2022-11-24T00:00:00"/>
    <x v="2"/>
    <n v="4.99"/>
    <x v="2"/>
    <x v="1"/>
    <x v="1"/>
    <x v="2"/>
    <x v="1"/>
    <x v="1"/>
    <x v="2"/>
  </r>
  <r>
    <x v="83"/>
    <d v="2022-11-25T00:00:00"/>
    <x v="3"/>
    <n v="12.99"/>
    <x v="2"/>
    <x v="1"/>
    <x v="1"/>
    <x v="14"/>
    <x v="1"/>
    <x v="1"/>
    <x v="19"/>
  </r>
  <r>
    <x v="84"/>
    <d v="2022-11-25T00:00:00"/>
    <x v="4"/>
    <n v="9.9499999999999993"/>
    <x v="2"/>
    <x v="1"/>
    <x v="0"/>
    <x v="4"/>
    <x v="0"/>
    <x v="0"/>
    <x v="4"/>
  </r>
  <r>
    <x v="85"/>
    <d v="2022-11-25T00:00:00"/>
    <x v="0"/>
    <n v="3.49"/>
    <x v="2"/>
    <x v="1"/>
    <x v="0"/>
    <x v="7"/>
    <x v="0"/>
    <x v="0"/>
    <x v="7"/>
  </r>
  <r>
    <x v="86"/>
    <d v="2022-11-25T00:00:00"/>
    <x v="1"/>
    <n v="2.95"/>
    <x v="2"/>
    <x v="1"/>
    <x v="0"/>
    <x v="1"/>
    <x v="0"/>
    <x v="0"/>
    <x v="1"/>
  </r>
  <r>
    <x v="87"/>
    <d v="2022-11-25T00:00:00"/>
    <x v="2"/>
    <n v="4.99"/>
    <x v="2"/>
    <x v="1"/>
    <x v="0"/>
    <x v="2"/>
    <x v="0"/>
    <x v="0"/>
    <x v="2"/>
  </r>
  <r>
    <x v="88"/>
    <d v="2022-11-26T00:00:00"/>
    <x v="3"/>
    <n v="12.99"/>
    <x v="2"/>
    <x v="1"/>
    <x v="0"/>
    <x v="15"/>
    <x v="0"/>
    <x v="0"/>
    <x v="20"/>
  </r>
  <r>
    <x v="89"/>
    <d v="2022-11-26T00:00:00"/>
    <x v="4"/>
    <n v="9.9499999999999993"/>
    <x v="2"/>
    <x v="1"/>
    <x v="0"/>
    <x v="4"/>
    <x v="0"/>
    <x v="0"/>
    <x v="4"/>
  </r>
  <r>
    <x v="90"/>
    <d v="2022-11-26T00:00:00"/>
    <x v="0"/>
    <n v="3.49"/>
    <x v="2"/>
    <x v="1"/>
    <x v="0"/>
    <x v="7"/>
    <x v="0"/>
    <x v="0"/>
    <x v="7"/>
  </r>
  <r>
    <x v="91"/>
    <d v="2022-11-26T00:00:00"/>
    <x v="1"/>
    <n v="2.95"/>
    <x v="2"/>
    <x v="1"/>
    <x v="0"/>
    <x v="1"/>
    <x v="0"/>
    <x v="0"/>
    <x v="1"/>
  </r>
  <r>
    <x v="92"/>
    <d v="2022-11-26T00:00:00"/>
    <x v="2"/>
    <n v="4.99"/>
    <x v="2"/>
    <x v="1"/>
    <x v="0"/>
    <x v="2"/>
    <x v="0"/>
    <x v="0"/>
    <x v="2"/>
  </r>
  <r>
    <x v="93"/>
    <d v="2022-11-27T00:00:00"/>
    <x v="3"/>
    <n v="12.99"/>
    <x v="2"/>
    <x v="1"/>
    <x v="0"/>
    <x v="14"/>
    <x v="0"/>
    <x v="0"/>
    <x v="19"/>
  </r>
  <r>
    <x v="94"/>
    <d v="2022-11-27T00:00:00"/>
    <x v="4"/>
    <n v="9.9499999999999993"/>
    <x v="2"/>
    <x v="1"/>
    <x v="0"/>
    <x v="4"/>
    <x v="0"/>
    <x v="0"/>
    <x v="4"/>
  </r>
  <r>
    <x v="95"/>
    <d v="2022-11-27T00:00:00"/>
    <x v="0"/>
    <n v="3.49"/>
    <x v="0"/>
    <x v="1"/>
    <x v="0"/>
    <x v="7"/>
    <x v="0"/>
    <x v="0"/>
    <x v="7"/>
  </r>
  <r>
    <x v="96"/>
    <d v="2022-11-27T00:00:00"/>
    <x v="1"/>
    <n v="2.95"/>
    <x v="0"/>
    <x v="1"/>
    <x v="0"/>
    <x v="1"/>
    <x v="0"/>
    <x v="0"/>
    <x v="1"/>
  </r>
  <r>
    <x v="97"/>
    <d v="2022-11-27T00:00:00"/>
    <x v="2"/>
    <n v="4.99"/>
    <x v="0"/>
    <x v="1"/>
    <x v="0"/>
    <x v="2"/>
    <x v="0"/>
    <x v="0"/>
    <x v="2"/>
  </r>
  <r>
    <x v="98"/>
    <d v="2022-11-28T00:00:00"/>
    <x v="3"/>
    <n v="12.99"/>
    <x v="0"/>
    <x v="1"/>
    <x v="0"/>
    <x v="12"/>
    <x v="0"/>
    <x v="0"/>
    <x v="17"/>
  </r>
  <r>
    <x v="99"/>
    <d v="2022-11-28T00:00:00"/>
    <x v="4"/>
    <n v="9.9499999999999993"/>
    <x v="0"/>
    <x v="1"/>
    <x v="0"/>
    <x v="4"/>
    <x v="0"/>
    <x v="0"/>
    <x v="4"/>
  </r>
  <r>
    <x v="100"/>
    <d v="2022-11-28T00:00:00"/>
    <x v="0"/>
    <n v="3.49"/>
    <x v="0"/>
    <x v="1"/>
    <x v="0"/>
    <x v="7"/>
    <x v="0"/>
    <x v="0"/>
    <x v="7"/>
  </r>
  <r>
    <x v="101"/>
    <d v="2022-11-28T00:00:00"/>
    <x v="1"/>
    <n v="2.95"/>
    <x v="0"/>
    <x v="1"/>
    <x v="0"/>
    <x v="6"/>
    <x v="0"/>
    <x v="0"/>
    <x v="6"/>
  </r>
  <r>
    <x v="102"/>
    <d v="2022-11-28T00:00:00"/>
    <x v="2"/>
    <n v="4.99"/>
    <x v="0"/>
    <x v="1"/>
    <x v="0"/>
    <x v="2"/>
    <x v="0"/>
    <x v="0"/>
    <x v="2"/>
  </r>
  <r>
    <x v="103"/>
    <d v="2022-11-29T00:00:00"/>
    <x v="3"/>
    <n v="12.99"/>
    <x v="0"/>
    <x v="1"/>
    <x v="0"/>
    <x v="12"/>
    <x v="0"/>
    <x v="0"/>
    <x v="17"/>
  </r>
  <r>
    <x v="104"/>
    <d v="2022-11-29T00:00:00"/>
    <x v="4"/>
    <n v="9.9499999999999993"/>
    <x v="0"/>
    <x v="1"/>
    <x v="0"/>
    <x v="4"/>
    <x v="0"/>
    <x v="0"/>
    <x v="4"/>
  </r>
  <r>
    <x v="105"/>
    <d v="2022-11-29T00:00:00"/>
    <x v="0"/>
    <n v="3.49"/>
    <x v="0"/>
    <x v="1"/>
    <x v="0"/>
    <x v="7"/>
    <x v="0"/>
    <x v="0"/>
    <x v="7"/>
  </r>
  <r>
    <x v="106"/>
    <d v="2022-11-29T00:00:00"/>
    <x v="1"/>
    <n v="2.95"/>
    <x v="0"/>
    <x v="1"/>
    <x v="0"/>
    <x v="6"/>
    <x v="0"/>
    <x v="0"/>
    <x v="6"/>
  </r>
  <r>
    <x v="107"/>
    <d v="2022-11-29T00:00:00"/>
    <x v="2"/>
    <n v="4.99"/>
    <x v="0"/>
    <x v="1"/>
    <x v="0"/>
    <x v="2"/>
    <x v="0"/>
    <x v="0"/>
    <x v="2"/>
  </r>
  <r>
    <x v="108"/>
    <d v="2022-11-30T00:00:00"/>
    <x v="3"/>
    <n v="12.99"/>
    <x v="0"/>
    <x v="1"/>
    <x v="0"/>
    <x v="13"/>
    <x v="0"/>
    <x v="0"/>
    <x v="18"/>
  </r>
  <r>
    <x v="109"/>
    <d v="2022-11-30T00:00:00"/>
    <x v="4"/>
    <n v="9.9499999999999993"/>
    <x v="0"/>
    <x v="1"/>
    <x v="0"/>
    <x v="4"/>
    <x v="0"/>
    <x v="0"/>
    <x v="4"/>
  </r>
  <r>
    <x v="110"/>
    <d v="2022-11-30T00:00:00"/>
    <x v="0"/>
    <n v="3.49"/>
    <x v="0"/>
    <x v="1"/>
    <x v="0"/>
    <x v="7"/>
    <x v="0"/>
    <x v="0"/>
    <x v="7"/>
  </r>
  <r>
    <x v="111"/>
    <d v="2022-11-30T00:00:00"/>
    <x v="1"/>
    <n v="2.95"/>
    <x v="0"/>
    <x v="1"/>
    <x v="0"/>
    <x v="6"/>
    <x v="0"/>
    <x v="0"/>
    <x v="6"/>
  </r>
  <r>
    <x v="112"/>
    <d v="2022-11-30T00:00:00"/>
    <x v="2"/>
    <n v="4.99"/>
    <x v="0"/>
    <x v="1"/>
    <x v="0"/>
    <x v="2"/>
    <x v="0"/>
    <x v="0"/>
    <x v="2"/>
  </r>
  <r>
    <x v="113"/>
    <d v="2022-12-01T00:00:00"/>
    <x v="3"/>
    <n v="12.99"/>
    <x v="0"/>
    <x v="1"/>
    <x v="0"/>
    <x v="13"/>
    <x v="0"/>
    <x v="0"/>
    <x v="18"/>
  </r>
  <r>
    <x v="114"/>
    <d v="2022-12-01T00:00:00"/>
    <x v="4"/>
    <n v="9.9499999999999993"/>
    <x v="0"/>
    <x v="1"/>
    <x v="0"/>
    <x v="4"/>
    <x v="0"/>
    <x v="0"/>
    <x v="4"/>
  </r>
  <r>
    <x v="115"/>
    <d v="2022-12-01T00:00:00"/>
    <x v="0"/>
    <n v="3.49"/>
    <x v="0"/>
    <x v="1"/>
    <x v="4"/>
    <x v="0"/>
    <x v="4"/>
    <x v="4"/>
    <x v="0"/>
  </r>
  <r>
    <x v="116"/>
    <d v="2022-12-01T00:00:00"/>
    <x v="1"/>
    <n v="2.95"/>
    <x v="0"/>
    <x v="1"/>
    <x v="4"/>
    <x v="6"/>
    <x v="4"/>
    <x v="4"/>
    <x v="6"/>
  </r>
  <r>
    <x v="117"/>
    <d v="2022-12-01T00:00:00"/>
    <x v="2"/>
    <n v="4.99"/>
    <x v="0"/>
    <x v="1"/>
    <x v="4"/>
    <x v="2"/>
    <x v="4"/>
    <x v="4"/>
    <x v="2"/>
  </r>
  <r>
    <x v="118"/>
    <d v="2022-12-02T00:00:00"/>
    <x v="3"/>
    <n v="12.99"/>
    <x v="0"/>
    <x v="1"/>
    <x v="4"/>
    <x v="8"/>
    <x v="4"/>
    <x v="4"/>
    <x v="8"/>
  </r>
  <r>
    <x v="119"/>
    <d v="2022-12-02T00:00:00"/>
    <x v="4"/>
    <n v="9.9499999999999993"/>
    <x v="0"/>
    <x v="1"/>
    <x v="4"/>
    <x v="4"/>
    <x v="4"/>
    <x v="4"/>
    <x v="4"/>
  </r>
  <r>
    <x v="120"/>
    <d v="2022-12-02T00:00:00"/>
    <x v="0"/>
    <n v="3.49"/>
    <x v="0"/>
    <x v="1"/>
    <x v="4"/>
    <x v="7"/>
    <x v="4"/>
    <x v="4"/>
    <x v="7"/>
  </r>
  <r>
    <x v="121"/>
    <d v="2022-12-02T00:00:00"/>
    <x v="1"/>
    <n v="2.95"/>
    <x v="0"/>
    <x v="1"/>
    <x v="4"/>
    <x v="6"/>
    <x v="4"/>
    <x v="4"/>
    <x v="6"/>
  </r>
  <r>
    <x v="122"/>
    <d v="2022-12-02T00:00:00"/>
    <x v="2"/>
    <n v="4.99"/>
    <x v="0"/>
    <x v="1"/>
    <x v="4"/>
    <x v="2"/>
    <x v="4"/>
    <x v="4"/>
    <x v="2"/>
  </r>
  <r>
    <x v="123"/>
    <d v="2022-12-03T00:00:00"/>
    <x v="3"/>
    <n v="12.99"/>
    <x v="0"/>
    <x v="1"/>
    <x v="4"/>
    <x v="8"/>
    <x v="4"/>
    <x v="4"/>
    <x v="8"/>
  </r>
  <r>
    <x v="124"/>
    <d v="2022-12-03T00:00:00"/>
    <x v="4"/>
    <n v="9.9499999999999993"/>
    <x v="0"/>
    <x v="1"/>
    <x v="4"/>
    <x v="4"/>
    <x v="4"/>
    <x v="4"/>
    <x v="4"/>
  </r>
  <r>
    <x v="125"/>
    <d v="2022-12-03T00:00:00"/>
    <x v="0"/>
    <n v="3.49"/>
    <x v="0"/>
    <x v="1"/>
    <x v="0"/>
    <x v="7"/>
    <x v="0"/>
    <x v="0"/>
    <x v="7"/>
  </r>
  <r>
    <x v="126"/>
    <d v="2022-12-03T00:00:00"/>
    <x v="1"/>
    <n v="2.95"/>
    <x v="0"/>
    <x v="1"/>
    <x v="0"/>
    <x v="6"/>
    <x v="0"/>
    <x v="0"/>
    <x v="6"/>
  </r>
  <r>
    <x v="127"/>
    <d v="2022-12-03T00:00:00"/>
    <x v="2"/>
    <n v="4.99"/>
    <x v="0"/>
    <x v="1"/>
    <x v="0"/>
    <x v="2"/>
    <x v="0"/>
    <x v="0"/>
    <x v="2"/>
  </r>
  <r>
    <x v="128"/>
    <d v="2022-12-04T00:00:00"/>
    <x v="3"/>
    <n v="12.99"/>
    <x v="0"/>
    <x v="1"/>
    <x v="0"/>
    <x v="10"/>
    <x v="0"/>
    <x v="0"/>
    <x v="15"/>
  </r>
  <r>
    <x v="129"/>
    <d v="2022-12-04T00:00:00"/>
    <x v="4"/>
    <n v="9.9499999999999993"/>
    <x v="0"/>
    <x v="1"/>
    <x v="0"/>
    <x v="4"/>
    <x v="0"/>
    <x v="0"/>
    <x v="4"/>
  </r>
  <r>
    <x v="130"/>
    <d v="2022-12-05T00:00:00"/>
    <x v="3"/>
    <n v="12.99"/>
    <x v="0"/>
    <x v="1"/>
    <x v="0"/>
    <x v="5"/>
    <x v="0"/>
    <x v="0"/>
    <x v="5"/>
  </r>
  <r>
    <x v="131"/>
    <d v="2022-12-05T00:00:00"/>
    <x v="4"/>
    <n v="9.9499999999999993"/>
    <x v="0"/>
    <x v="1"/>
    <x v="0"/>
    <x v="4"/>
    <x v="0"/>
    <x v="0"/>
    <x v="4"/>
  </r>
  <r>
    <x v="132"/>
    <d v="2022-12-05T00:00:00"/>
    <x v="0"/>
    <n v="3.49"/>
    <x v="0"/>
    <x v="1"/>
    <x v="0"/>
    <x v="0"/>
    <x v="0"/>
    <x v="0"/>
    <x v="0"/>
  </r>
  <r>
    <x v="133"/>
    <d v="2022-12-05T00:00:00"/>
    <x v="1"/>
    <n v="2.95"/>
    <x v="0"/>
    <x v="1"/>
    <x v="0"/>
    <x v="6"/>
    <x v="0"/>
    <x v="0"/>
    <x v="6"/>
  </r>
  <r>
    <x v="134"/>
    <d v="2022-12-05T00:00:00"/>
    <x v="2"/>
    <n v="4.99"/>
    <x v="0"/>
    <x v="1"/>
    <x v="0"/>
    <x v="2"/>
    <x v="0"/>
    <x v="0"/>
    <x v="2"/>
  </r>
  <r>
    <x v="135"/>
    <d v="2022-12-06T00:00:00"/>
    <x v="3"/>
    <n v="12.99"/>
    <x v="0"/>
    <x v="1"/>
    <x v="0"/>
    <x v="10"/>
    <x v="0"/>
    <x v="0"/>
    <x v="15"/>
  </r>
  <r>
    <x v="136"/>
    <d v="2022-12-06T00:00:00"/>
    <x v="4"/>
    <n v="9.9499999999999993"/>
    <x v="0"/>
    <x v="1"/>
    <x v="0"/>
    <x v="4"/>
    <x v="0"/>
    <x v="0"/>
    <x v="4"/>
  </r>
  <r>
    <x v="137"/>
    <d v="2022-12-06T00:00:00"/>
    <x v="0"/>
    <n v="3.49"/>
    <x v="0"/>
    <x v="1"/>
    <x v="0"/>
    <x v="0"/>
    <x v="0"/>
    <x v="0"/>
    <x v="0"/>
  </r>
  <r>
    <x v="138"/>
    <d v="2022-12-06T00:00:00"/>
    <x v="1"/>
    <n v="2.95"/>
    <x v="0"/>
    <x v="1"/>
    <x v="0"/>
    <x v="6"/>
    <x v="0"/>
    <x v="0"/>
    <x v="6"/>
  </r>
  <r>
    <x v="139"/>
    <d v="2022-12-06T00:00:00"/>
    <x v="2"/>
    <n v="4.99"/>
    <x v="0"/>
    <x v="1"/>
    <x v="0"/>
    <x v="2"/>
    <x v="0"/>
    <x v="0"/>
    <x v="2"/>
  </r>
  <r>
    <x v="140"/>
    <d v="2022-12-07T00:00:00"/>
    <x v="3"/>
    <n v="12.99"/>
    <x v="0"/>
    <x v="1"/>
    <x v="0"/>
    <x v="8"/>
    <x v="0"/>
    <x v="0"/>
    <x v="8"/>
  </r>
  <r>
    <x v="141"/>
    <d v="2022-12-07T00:00:00"/>
    <x v="4"/>
    <n v="9.9499999999999993"/>
    <x v="0"/>
    <x v="1"/>
    <x v="0"/>
    <x v="4"/>
    <x v="0"/>
    <x v="0"/>
    <x v="4"/>
  </r>
  <r>
    <x v="142"/>
    <d v="2022-12-07T00:00:00"/>
    <x v="0"/>
    <n v="3.49"/>
    <x v="0"/>
    <x v="2"/>
    <x v="0"/>
    <x v="7"/>
    <x v="0"/>
    <x v="0"/>
    <x v="7"/>
  </r>
  <r>
    <x v="143"/>
    <d v="2022-12-07T00:00:00"/>
    <x v="1"/>
    <n v="2.95"/>
    <x v="0"/>
    <x v="2"/>
    <x v="0"/>
    <x v="6"/>
    <x v="0"/>
    <x v="0"/>
    <x v="6"/>
  </r>
  <r>
    <x v="144"/>
    <d v="2022-12-07T00:00:00"/>
    <x v="2"/>
    <n v="4.99"/>
    <x v="0"/>
    <x v="2"/>
    <x v="0"/>
    <x v="2"/>
    <x v="0"/>
    <x v="0"/>
    <x v="2"/>
  </r>
  <r>
    <x v="145"/>
    <d v="2022-12-08T00:00:00"/>
    <x v="3"/>
    <n v="12.99"/>
    <x v="0"/>
    <x v="2"/>
    <x v="0"/>
    <x v="10"/>
    <x v="0"/>
    <x v="0"/>
    <x v="15"/>
  </r>
  <r>
    <x v="146"/>
    <d v="2022-12-08T00:00:00"/>
    <x v="4"/>
    <n v="9.9499999999999993"/>
    <x v="0"/>
    <x v="2"/>
    <x v="0"/>
    <x v="4"/>
    <x v="0"/>
    <x v="0"/>
    <x v="4"/>
  </r>
  <r>
    <x v="147"/>
    <d v="2022-12-08T00:00:00"/>
    <x v="0"/>
    <n v="3.49"/>
    <x v="0"/>
    <x v="2"/>
    <x v="0"/>
    <x v="7"/>
    <x v="0"/>
    <x v="0"/>
    <x v="7"/>
  </r>
  <r>
    <x v="148"/>
    <d v="2022-12-08T00:00:00"/>
    <x v="1"/>
    <n v="2.95"/>
    <x v="0"/>
    <x v="0"/>
    <x v="0"/>
    <x v="6"/>
    <x v="0"/>
    <x v="0"/>
    <x v="6"/>
  </r>
  <r>
    <x v="149"/>
    <d v="2022-12-08T00:00:00"/>
    <x v="2"/>
    <n v="4.99"/>
    <x v="0"/>
    <x v="0"/>
    <x v="0"/>
    <x v="2"/>
    <x v="0"/>
    <x v="0"/>
    <x v="2"/>
  </r>
  <r>
    <x v="150"/>
    <d v="2022-12-09T00:00:00"/>
    <x v="3"/>
    <n v="12.99"/>
    <x v="0"/>
    <x v="0"/>
    <x v="0"/>
    <x v="3"/>
    <x v="0"/>
    <x v="0"/>
    <x v="3"/>
  </r>
  <r>
    <x v="151"/>
    <d v="2022-12-09T00:00:00"/>
    <x v="4"/>
    <n v="9.9499999999999993"/>
    <x v="0"/>
    <x v="0"/>
    <x v="0"/>
    <x v="4"/>
    <x v="0"/>
    <x v="0"/>
    <x v="4"/>
  </r>
  <r>
    <x v="152"/>
    <d v="2022-12-09T00:00:00"/>
    <x v="0"/>
    <n v="3.49"/>
    <x v="0"/>
    <x v="0"/>
    <x v="0"/>
    <x v="7"/>
    <x v="0"/>
    <x v="0"/>
    <x v="7"/>
  </r>
  <r>
    <x v="153"/>
    <d v="2022-12-09T00:00:00"/>
    <x v="1"/>
    <n v="2.95"/>
    <x v="0"/>
    <x v="0"/>
    <x v="0"/>
    <x v="6"/>
    <x v="0"/>
    <x v="0"/>
    <x v="6"/>
  </r>
  <r>
    <x v="154"/>
    <d v="2022-12-09T00:00:00"/>
    <x v="2"/>
    <n v="4.99"/>
    <x v="0"/>
    <x v="0"/>
    <x v="0"/>
    <x v="2"/>
    <x v="0"/>
    <x v="0"/>
    <x v="2"/>
  </r>
  <r>
    <x v="155"/>
    <d v="2022-12-10T00:00:00"/>
    <x v="3"/>
    <n v="12.99"/>
    <x v="0"/>
    <x v="0"/>
    <x v="0"/>
    <x v="3"/>
    <x v="0"/>
    <x v="0"/>
    <x v="3"/>
  </r>
  <r>
    <x v="156"/>
    <d v="2022-12-10T00:00:00"/>
    <x v="4"/>
    <n v="9.9499999999999993"/>
    <x v="0"/>
    <x v="0"/>
    <x v="0"/>
    <x v="4"/>
    <x v="0"/>
    <x v="0"/>
    <x v="4"/>
  </r>
  <r>
    <x v="157"/>
    <d v="2022-12-10T00:00:00"/>
    <x v="0"/>
    <n v="3.49"/>
    <x v="0"/>
    <x v="0"/>
    <x v="0"/>
    <x v="7"/>
    <x v="0"/>
    <x v="0"/>
    <x v="7"/>
  </r>
  <r>
    <x v="158"/>
    <d v="2022-12-10T00:00:00"/>
    <x v="1"/>
    <n v="2.95"/>
    <x v="0"/>
    <x v="0"/>
    <x v="0"/>
    <x v="6"/>
    <x v="0"/>
    <x v="0"/>
    <x v="6"/>
  </r>
  <r>
    <x v="159"/>
    <d v="2022-12-10T00:00:00"/>
    <x v="2"/>
    <n v="4.99"/>
    <x v="0"/>
    <x v="0"/>
    <x v="0"/>
    <x v="2"/>
    <x v="0"/>
    <x v="0"/>
    <x v="2"/>
  </r>
  <r>
    <x v="160"/>
    <d v="2022-12-11T00:00:00"/>
    <x v="3"/>
    <n v="12.99"/>
    <x v="0"/>
    <x v="0"/>
    <x v="0"/>
    <x v="16"/>
    <x v="0"/>
    <x v="0"/>
    <x v="21"/>
  </r>
  <r>
    <x v="161"/>
    <d v="2022-12-11T00:00:00"/>
    <x v="4"/>
    <n v="9.9499999999999993"/>
    <x v="0"/>
    <x v="0"/>
    <x v="0"/>
    <x v="4"/>
    <x v="0"/>
    <x v="0"/>
    <x v="4"/>
  </r>
  <r>
    <x v="162"/>
    <d v="2022-12-11T00:00:00"/>
    <x v="0"/>
    <n v="3.49"/>
    <x v="0"/>
    <x v="0"/>
    <x v="0"/>
    <x v="7"/>
    <x v="0"/>
    <x v="0"/>
    <x v="7"/>
  </r>
  <r>
    <x v="163"/>
    <d v="2022-12-11T00:00:00"/>
    <x v="1"/>
    <n v="2.95"/>
    <x v="0"/>
    <x v="0"/>
    <x v="0"/>
    <x v="1"/>
    <x v="0"/>
    <x v="0"/>
    <x v="1"/>
  </r>
  <r>
    <x v="164"/>
    <d v="2022-12-11T00:00:00"/>
    <x v="2"/>
    <n v="4.99"/>
    <x v="0"/>
    <x v="0"/>
    <x v="0"/>
    <x v="2"/>
    <x v="0"/>
    <x v="0"/>
    <x v="2"/>
  </r>
  <r>
    <x v="165"/>
    <d v="2022-12-12T00:00:00"/>
    <x v="3"/>
    <n v="12.99"/>
    <x v="0"/>
    <x v="0"/>
    <x v="0"/>
    <x v="3"/>
    <x v="0"/>
    <x v="0"/>
    <x v="3"/>
  </r>
  <r>
    <x v="166"/>
    <d v="2022-12-12T00:00:00"/>
    <x v="4"/>
    <n v="9.9499999999999993"/>
    <x v="0"/>
    <x v="0"/>
    <x v="0"/>
    <x v="4"/>
    <x v="0"/>
    <x v="0"/>
    <x v="4"/>
  </r>
  <r>
    <x v="167"/>
    <d v="2022-12-12T00:00:00"/>
    <x v="0"/>
    <n v="3.49"/>
    <x v="0"/>
    <x v="0"/>
    <x v="0"/>
    <x v="7"/>
    <x v="0"/>
    <x v="0"/>
    <x v="7"/>
  </r>
  <r>
    <x v="168"/>
    <d v="2022-12-12T00:00:00"/>
    <x v="1"/>
    <n v="2.95"/>
    <x v="0"/>
    <x v="0"/>
    <x v="2"/>
    <x v="6"/>
    <x v="2"/>
    <x v="2"/>
    <x v="6"/>
  </r>
  <r>
    <x v="169"/>
    <d v="2022-12-12T00:00:00"/>
    <x v="2"/>
    <n v="4.99"/>
    <x v="0"/>
    <x v="0"/>
    <x v="2"/>
    <x v="2"/>
    <x v="2"/>
    <x v="2"/>
    <x v="2"/>
  </r>
  <r>
    <x v="170"/>
    <d v="2022-12-13T00:00:00"/>
    <x v="3"/>
    <n v="12.99"/>
    <x v="0"/>
    <x v="2"/>
    <x v="2"/>
    <x v="3"/>
    <x v="2"/>
    <x v="2"/>
    <x v="3"/>
  </r>
  <r>
    <x v="171"/>
    <d v="2022-12-13T00:00:00"/>
    <x v="4"/>
    <n v="9.9499999999999993"/>
    <x v="0"/>
    <x v="0"/>
    <x v="2"/>
    <x v="4"/>
    <x v="2"/>
    <x v="2"/>
    <x v="4"/>
  </r>
  <r>
    <x v="172"/>
    <d v="2022-12-13T00:00:00"/>
    <x v="0"/>
    <n v="3.49"/>
    <x v="0"/>
    <x v="0"/>
    <x v="2"/>
    <x v="7"/>
    <x v="2"/>
    <x v="2"/>
    <x v="7"/>
  </r>
  <r>
    <x v="173"/>
    <d v="2022-12-13T00:00:00"/>
    <x v="1"/>
    <n v="2.95"/>
    <x v="0"/>
    <x v="0"/>
    <x v="2"/>
    <x v="6"/>
    <x v="2"/>
    <x v="2"/>
    <x v="6"/>
  </r>
  <r>
    <x v="174"/>
    <d v="2022-12-13T00:00:00"/>
    <x v="2"/>
    <n v="4.99"/>
    <x v="0"/>
    <x v="0"/>
    <x v="2"/>
    <x v="2"/>
    <x v="2"/>
    <x v="2"/>
    <x v="2"/>
  </r>
  <r>
    <x v="175"/>
    <d v="2022-12-14T00:00:00"/>
    <x v="3"/>
    <n v="12.99"/>
    <x v="0"/>
    <x v="0"/>
    <x v="2"/>
    <x v="5"/>
    <x v="2"/>
    <x v="2"/>
    <x v="5"/>
  </r>
  <r>
    <x v="176"/>
    <d v="2022-12-14T00:00:00"/>
    <x v="4"/>
    <n v="9.9499999999999993"/>
    <x v="0"/>
    <x v="0"/>
    <x v="2"/>
    <x v="17"/>
    <x v="2"/>
    <x v="2"/>
    <x v="22"/>
  </r>
  <r>
    <x v="177"/>
    <d v="2022-12-14T00:00:00"/>
    <x v="0"/>
    <n v="3.49"/>
    <x v="0"/>
    <x v="0"/>
    <x v="2"/>
    <x v="7"/>
    <x v="2"/>
    <x v="2"/>
    <x v="7"/>
  </r>
  <r>
    <x v="178"/>
    <d v="2022-12-14T00:00:00"/>
    <x v="1"/>
    <n v="2.95"/>
    <x v="0"/>
    <x v="0"/>
    <x v="2"/>
    <x v="6"/>
    <x v="2"/>
    <x v="2"/>
    <x v="6"/>
  </r>
  <r>
    <x v="179"/>
    <d v="2022-12-14T00:00:00"/>
    <x v="2"/>
    <n v="4.99"/>
    <x v="0"/>
    <x v="0"/>
    <x v="2"/>
    <x v="2"/>
    <x v="2"/>
    <x v="2"/>
    <x v="2"/>
  </r>
  <r>
    <x v="180"/>
    <d v="2022-12-15T00:00:00"/>
    <x v="3"/>
    <n v="12.99"/>
    <x v="0"/>
    <x v="0"/>
    <x v="2"/>
    <x v="10"/>
    <x v="2"/>
    <x v="2"/>
    <x v="15"/>
  </r>
  <r>
    <x v="181"/>
    <d v="2022-12-15T00:00:00"/>
    <x v="4"/>
    <n v="9.9499999999999993"/>
    <x v="0"/>
    <x v="0"/>
    <x v="2"/>
    <x v="17"/>
    <x v="2"/>
    <x v="2"/>
    <x v="22"/>
  </r>
  <r>
    <x v="182"/>
    <d v="2022-12-15T00:00:00"/>
    <x v="0"/>
    <n v="3.49"/>
    <x v="0"/>
    <x v="2"/>
    <x v="2"/>
    <x v="7"/>
    <x v="2"/>
    <x v="2"/>
    <x v="7"/>
  </r>
  <r>
    <x v="183"/>
    <d v="2022-12-15T00:00:00"/>
    <x v="1"/>
    <n v="2.95"/>
    <x v="0"/>
    <x v="2"/>
    <x v="2"/>
    <x v="6"/>
    <x v="2"/>
    <x v="2"/>
    <x v="6"/>
  </r>
  <r>
    <x v="184"/>
    <d v="2022-12-15T00:00:00"/>
    <x v="2"/>
    <n v="4.99"/>
    <x v="0"/>
    <x v="2"/>
    <x v="2"/>
    <x v="2"/>
    <x v="2"/>
    <x v="2"/>
    <x v="2"/>
  </r>
  <r>
    <x v="185"/>
    <d v="2022-12-16T00:00:00"/>
    <x v="3"/>
    <n v="12.99"/>
    <x v="0"/>
    <x v="2"/>
    <x v="2"/>
    <x v="3"/>
    <x v="2"/>
    <x v="2"/>
    <x v="3"/>
  </r>
  <r>
    <x v="186"/>
    <d v="2022-12-16T00:00:00"/>
    <x v="4"/>
    <n v="9.9499999999999993"/>
    <x v="0"/>
    <x v="2"/>
    <x v="2"/>
    <x v="17"/>
    <x v="2"/>
    <x v="2"/>
    <x v="22"/>
  </r>
  <r>
    <x v="187"/>
    <d v="2022-12-16T00:00:00"/>
    <x v="0"/>
    <n v="3.49"/>
    <x v="0"/>
    <x v="0"/>
    <x v="2"/>
    <x v="7"/>
    <x v="2"/>
    <x v="2"/>
    <x v="7"/>
  </r>
  <r>
    <x v="188"/>
    <d v="2022-12-16T00:00:00"/>
    <x v="1"/>
    <n v="2.95"/>
    <x v="0"/>
    <x v="0"/>
    <x v="2"/>
    <x v="1"/>
    <x v="2"/>
    <x v="2"/>
    <x v="1"/>
  </r>
  <r>
    <x v="189"/>
    <d v="2022-12-16T00:00:00"/>
    <x v="2"/>
    <n v="4.99"/>
    <x v="0"/>
    <x v="0"/>
    <x v="2"/>
    <x v="2"/>
    <x v="2"/>
    <x v="2"/>
    <x v="2"/>
  </r>
  <r>
    <x v="190"/>
    <d v="2022-12-17T00:00:00"/>
    <x v="3"/>
    <n v="12.99"/>
    <x v="0"/>
    <x v="0"/>
    <x v="2"/>
    <x v="16"/>
    <x v="2"/>
    <x v="2"/>
    <x v="21"/>
  </r>
  <r>
    <x v="191"/>
    <d v="2022-12-17T00:00:00"/>
    <x v="4"/>
    <n v="9.9499999999999993"/>
    <x v="0"/>
    <x v="0"/>
    <x v="2"/>
    <x v="17"/>
    <x v="2"/>
    <x v="2"/>
    <x v="22"/>
  </r>
  <r>
    <x v="192"/>
    <d v="2022-12-17T00:00:00"/>
    <x v="0"/>
    <n v="3.49"/>
    <x v="0"/>
    <x v="0"/>
    <x v="2"/>
    <x v="11"/>
    <x v="2"/>
    <x v="2"/>
    <x v="16"/>
  </r>
  <r>
    <x v="193"/>
    <d v="2022-12-17T00:00:00"/>
    <x v="1"/>
    <n v="2.95"/>
    <x v="0"/>
    <x v="0"/>
    <x v="2"/>
    <x v="1"/>
    <x v="2"/>
    <x v="2"/>
    <x v="1"/>
  </r>
  <r>
    <x v="194"/>
    <d v="2022-12-17T00:00:00"/>
    <x v="2"/>
    <n v="4.99"/>
    <x v="0"/>
    <x v="0"/>
    <x v="2"/>
    <x v="2"/>
    <x v="2"/>
    <x v="2"/>
    <x v="2"/>
  </r>
  <r>
    <x v="195"/>
    <d v="2022-12-18T00:00:00"/>
    <x v="3"/>
    <n v="12.99"/>
    <x v="0"/>
    <x v="0"/>
    <x v="2"/>
    <x v="18"/>
    <x v="2"/>
    <x v="2"/>
    <x v="23"/>
  </r>
  <r>
    <x v="196"/>
    <d v="2022-12-18T00:00:00"/>
    <x v="4"/>
    <n v="9.9499999999999993"/>
    <x v="0"/>
    <x v="0"/>
    <x v="2"/>
    <x v="17"/>
    <x v="2"/>
    <x v="2"/>
    <x v="22"/>
  </r>
  <r>
    <x v="197"/>
    <d v="2022-12-18T00:00:00"/>
    <x v="0"/>
    <n v="3.49"/>
    <x v="0"/>
    <x v="0"/>
    <x v="2"/>
    <x v="11"/>
    <x v="2"/>
    <x v="2"/>
    <x v="16"/>
  </r>
  <r>
    <x v="198"/>
    <d v="2022-12-18T00:00:00"/>
    <x v="1"/>
    <n v="2.95"/>
    <x v="0"/>
    <x v="2"/>
    <x v="2"/>
    <x v="1"/>
    <x v="2"/>
    <x v="2"/>
    <x v="1"/>
  </r>
  <r>
    <x v="199"/>
    <d v="2022-12-18T00:00:00"/>
    <x v="2"/>
    <n v="4.99"/>
    <x v="0"/>
    <x v="2"/>
    <x v="2"/>
    <x v="2"/>
    <x v="2"/>
    <x v="2"/>
    <x v="2"/>
  </r>
  <r>
    <x v="200"/>
    <d v="2022-12-19T00:00:00"/>
    <x v="3"/>
    <n v="12.99"/>
    <x v="1"/>
    <x v="2"/>
    <x v="2"/>
    <x v="19"/>
    <x v="2"/>
    <x v="2"/>
    <x v="24"/>
  </r>
  <r>
    <x v="201"/>
    <d v="2022-12-19T00:00:00"/>
    <x v="4"/>
    <n v="9.9499999999999993"/>
    <x v="1"/>
    <x v="2"/>
    <x v="2"/>
    <x v="17"/>
    <x v="2"/>
    <x v="2"/>
    <x v="22"/>
  </r>
  <r>
    <x v="202"/>
    <d v="2022-12-19T00:00:00"/>
    <x v="0"/>
    <n v="3.49"/>
    <x v="1"/>
    <x v="2"/>
    <x v="2"/>
    <x v="7"/>
    <x v="2"/>
    <x v="2"/>
    <x v="7"/>
  </r>
  <r>
    <x v="203"/>
    <d v="2022-12-19T00:00:00"/>
    <x v="1"/>
    <n v="2.95"/>
    <x v="1"/>
    <x v="2"/>
    <x v="2"/>
    <x v="1"/>
    <x v="2"/>
    <x v="2"/>
    <x v="1"/>
  </r>
  <r>
    <x v="204"/>
    <d v="2022-12-19T00:00:00"/>
    <x v="2"/>
    <n v="4.99"/>
    <x v="1"/>
    <x v="2"/>
    <x v="2"/>
    <x v="2"/>
    <x v="2"/>
    <x v="2"/>
    <x v="2"/>
  </r>
  <r>
    <x v="205"/>
    <d v="2022-12-20T00:00:00"/>
    <x v="3"/>
    <n v="12.99"/>
    <x v="1"/>
    <x v="2"/>
    <x v="2"/>
    <x v="20"/>
    <x v="2"/>
    <x v="2"/>
    <x v="25"/>
  </r>
  <r>
    <x v="206"/>
    <d v="2022-12-20T00:00:00"/>
    <x v="4"/>
    <n v="9.9499999999999993"/>
    <x v="1"/>
    <x v="2"/>
    <x v="2"/>
    <x v="17"/>
    <x v="2"/>
    <x v="2"/>
    <x v="22"/>
  </r>
  <r>
    <x v="207"/>
    <d v="2022-12-20T00:00:00"/>
    <x v="0"/>
    <n v="3.49"/>
    <x v="1"/>
    <x v="2"/>
    <x v="2"/>
    <x v="7"/>
    <x v="2"/>
    <x v="2"/>
    <x v="7"/>
  </r>
  <r>
    <x v="208"/>
    <d v="2022-12-20T00:00:00"/>
    <x v="1"/>
    <n v="2.95"/>
    <x v="1"/>
    <x v="2"/>
    <x v="2"/>
    <x v="1"/>
    <x v="2"/>
    <x v="2"/>
    <x v="1"/>
  </r>
  <r>
    <x v="209"/>
    <d v="2022-12-20T00:00:00"/>
    <x v="2"/>
    <n v="4.99"/>
    <x v="1"/>
    <x v="2"/>
    <x v="2"/>
    <x v="2"/>
    <x v="2"/>
    <x v="2"/>
    <x v="2"/>
  </r>
  <r>
    <x v="210"/>
    <d v="2022-12-21T00:00:00"/>
    <x v="3"/>
    <n v="12.99"/>
    <x v="1"/>
    <x v="2"/>
    <x v="2"/>
    <x v="6"/>
    <x v="2"/>
    <x v="2"/>
    <x v="26"/>
  </r>
  <r>
    <x v="211"/>
    <d v="2022-12-21T00:00:00"/>
    <x v="4"/>
    <n v="9.9499999999999993"/>
    <x v="1"/>
    <x v="2"/>
    <x v="2"/>
    <x v="17"/>
    <x v="2"/>
    <x v="2"/>
    <x v="22"/>
  </r>
  <r>
    <x v="212"/>
    <d v="2022-12-21T00:00:00"/>
    <x v="0"/>
    <n v="3.49"/>
    <x v="1"/>
    <x v="2"/>
    <x v="2"/>
    <x v="7"/>
    <x v="2"/>
    <x v="2"/>
    <x v="7"/>
  </r>
  <r>
    <x v="213"/>
    <d v="2022-12-21T00:00:00"/>
    <x v="1"/>
    <n v="2.95"/>
    <x v="1"/>
    <x v="2"/>
    <x v="2"/>
    <x v="1"/>
    <x v="2"/>
    <x v="2"/>
    <x v="1"/>
  </r>
  <r>
    <x v="214"/>
    <d v="2022-12-21T00:00:00"/>
    <x v="2"/>
    <n v="4.99"/>
    <x v="1"/>
    <x v="2"/>
    <x v="2"/>
    <x v="2"/>
    <x v="2"/>
    <x v="2"/>
    <x v="2"/>
  </r>
  <r>
    <x v="215"/>
    <d v="2022-12-22T00:00:00"/>
    <x v="3"/>
    <n v="12.99"/>
    <x v="1"/>
    <x v="2"/>
    <x v="2"/>
    <x v="6"/>
    <x v="2"/>
    <x v="2"/>
    <x v="26"/>
  </r>
  <r>
    <x v="216"/>
    <d v="2022-12-22T00:00:00"/>
    <x v="4"/>
    <n v="9.9499999999999993"/>
    <x v="1"/>
    <x v="2"/>
    <x v="2"/>
    <x v="21"/>
    <x v="2"/>
    <x v="2"/>
    <x v="27"/>
  </r>
  <r>
    <x v="217"/>
    <d v="2022-12-22T00:00:00"/>
    <x v="0"/>
    <n v="3.49"/>
    <x v="1"/>
    <x v="2"/>
    <x v="2"/>
    <x v="7"/>
    <x v="2"/>
    <x v="2"/>
    <x v="7"/>
  </r>
  <r>
    <x v="218"/>
    <d v="2022-12-22T00:00:00"/>
    <x v="1"/>
    <n v="2.95"/>
    <x v="1"/>
    <x v="2"/>
    <x v="2"/>
    <x v="1"/>
    <x v="2"/>
    <x v="2"/>
    <x v="1"/>
  </r>
  <r>
    <x v="219"/>
    <d v="2022-12-22T00:00:00"/>
    <x v="2"/>
    <n v="4.99"/>
    <x v="1"/>
    <x v="2"/>
    <x v="2"/>
    <x v="2"/>
    <x v="2"/>
    <x v="2"/>
    <x v="2"/>
  </r>
  <r>
    <x v="220"/>
    <d v="2022-12-23T00:00:00"/>
    <x v="3"/>
    <n v="12.99"/>
    <x v="1"/>
    <x v="2"/>
    <x v="2"/>
    <x v="20"/>
    <x v="2"/>
    <x v="2"/>
    <x v="25"/>
  </r>
  <r>
    <x v="221"/>
    <d v="2022-12-23T00:00:00"/>
    <x v="4"/>
    <n v="9.9499999999999993"/>
    <x v="1"/>
    <x v="2"/>
    <x v="2"/>
    <x v="21"/>
    <x v="2"/>
    <x v="2"/>
    <x v="27"/>
  </r>
  <r>
    <x v="222"/>
    <d v="2022-12-23T00:00:00"/>
    <x v="0"/>
    <n v="3.49"/>
    <x v="1"/>
    <x v="2"/>
    <x v="2"/>
    <x v="7"/>
    <x v="2"/>
    <x v="2"/>
    <x v="7"/>
  </r>
  <r>
    <x v="223"/>
    <d v="2022-12-23T00:00:00"/>
    <x v="1"/>
    <n v="2.95"/>
    <x v="1"/>
    <x v="2"/>
    <x v="2"/>
    <x v="6"/>
    <x v="2"/>
    <x v="2"/>
    <x v="6"/>
  </r>
  <r>
    <x v="224"/>
    <d v="2022-12-23T00:00:00"/>
    <x v="2"/>
    <n v="4.99"/>
    <x v="1"/>
    <x v="2"/>
    <x v="2"/>
    <x v="2"/>
    <x v="2"/>
    <x v="2"/>
    <x v="2"/>
  </r>
  <r>
    <x v="225"/>
    <d v="2022-12-24T00:00:00"/>
    <x v="3"/>
    <n v="12.99"/>
    <x v="1"/>
    <x v="2"/>
    <x v="2"/>
    <x v="6"/>
    <x v="2"/>
    <x v="2"/>
    <x v="26"/>
  </r>
  <r>
    <x v="226"/>
    <d v="2022-12-24T00:00:00"/>
    <x v="4"/>
    <n v="9.9499999999999993"/>
    <x v="1"/>
    <x v="2"/>
    <x v="2"/>
    <x v="21"/>
    <x v="2"/>
    <x v="2"/>
    <x v="27"/>
  </r>
  <r>
    <x v="227"/>
    <d v="2022-12-24T00:00:00"/>
    <x v="0"/>
    <n v="3.49"/>
    <x v="1"/>
    <x v="2"/>
    <x v="3"/>
    <x v="7"/>
    <x v="3"/>
    <x v="3"/>
    <x v="7"/>
  </r>
  <r>
    <x v="228"/>
    <d v="2022-12-24T00:00:00"/>
    <x v="1"/>
    <n v="2.95"/>
    <x v="1"/>
    <x v="2"/>
    <x v="3"/>
    <x v="6"/>
    <x v="3"/>
    <x v="3"/>
    <x v="6"/>
  </r>
  <r>
    <x v="229"/>
    <d v="2022-12-24T00:00:00"/>
    <x v="2"/>
    <n v="4.99"/>
    <x v="1"/>
    <x v="2"/>
    <x v="3"/>
    <x v="2"/>
    <x v="3"/>
    <x v="3"/>
    <x v="2"/>
  </r>
  <r>
    <x v="230"/>
    <d v="2022-12-25T00:00:00"/>
    <x v="3"/>
    <n v="12.99"/>
    <x v="1"/>
    <x v="2"/>
    <x v="3"/>
    <x v="6"/>
    <x v="3"/>
    <x v="3"/>
    <x v="26"/>
  </r>
  <r>
    <x v="231"/>
    <d v="2022-12-25T00:00:00"/>
    <x v="4"/>
    <n v="9.9499999999999993"/>
    <x v="1"/>
    <x v="2"/>
    <x v="3"/>
    <x v="22"/>
    <x v="3"/>
    <x v="3"/>
    <x v="28"/>
  </r>
  <r>
    <x v="232"/>
    <d v="2022-12-25T00:00:00"/>
    <x v="0"/>
    <n v="3.49"/>
    <x v="1"/>
    <x v="2"/>
    <x v="3"/>
    <x v="7"/>
    <x v="3"/>
    <x v="3"/>
    <x v="7"/>
  </r>
  <r>
    <x v="233"/>
    <d v="2022-12-25T00:00:00"/>
    <x v="1"/>
    <n v="2.95"/>
    <x v="1"/>
    <x v="2"/>
    <x v="3"/>
    <x v="6"/>
    <x v="3"/>
    <x v="3"/>
    <x v="6"/>
  </r>
  <r>
    <x v="234"/>
    <d v="2022-12-25T00:00:00"/>
    <x v="2"/>
    <n v="4.99"/>
    <x v="1"/>
    <x v="2"/>
    <x v="3"/>
    <x v="2"/>
    <x v="3"/>
    <x v="3"/>
    <x v="2"/>
  </r>
  <r>
    <x v="235"/>
    <d v="2022-12-26T00:00:00"/>
    <x v="3"/>
    <n v="12.99"/>
    <x v="1"/>
    <x v="2"/>
    <x v="3"/>
    <x v="23"/>
    <x v="3"/>
    <x v="3"/>
    <x v="29"/>
  </r>
  <r>
    <x v="236"/>
    <d v="2022-12-26T00:00:00"/>
    <x v="4"/>
    <n v="9.9499999999999993"/>
    <x v="1"/>
    <x v="2"/>
    <x v="3"/>
    <x v="24"/>
    <x v="3"/>
    <x v="3"/>
    <x v="30"/>
  </r>
  <r>
    <x v="237"/>
    <d v="2022-12-26T00:00:00"/>
    <x v="0"/>
    <n v="3.49"/>
    <x v="1"/>
    <x v="2"/>
    <x v="3"/>
    <x v="7"/>
    <x v="3"/>
    <x v="3"/>
    <x v="7"/>
  </r>
  <r>
    <x v="238"/>
    <d v="2022-12-26T00:00:00"/>
    <x v="1"/>
    <n v="2.95"/>
    <x v="1"/>
    <x v="2"/>
    <x v="3"/>
    <x v="6"/>
    <x v="3"/>
    <x v="3"/>
    <x v="6"/>
  </r>
  <r>
    <x v="239"/>
    <d v="2022-12-26T00:00:00"/>
    <x v="2"/>
    <n v="4.99"/>
    <x v="1"/>
    <x v="2"/>
    <x v="3"/>
    <x v="2"/>
    <x v="3"/>
    <x v="3"/>
    <x v="2"/>
  </r>
  <r>
    <x v="240"/>
    <d v="2022-12-27T00:00:00"/>
    <x v="3"/>
    <n v="12.99"/>
    <x v="1"/>
    <x v="2"/>
    <x v="3"/>
    <x v="23"/>
    <x v="3"/>
    <x v="3"/>
    <x v="29"/>
  </r>
  <r>
    <x v="241"/>
    <d v="2022-12-27T00:00:00"/>
    <x v="4"/>
    <n v="9.9499999999999993"/>
    <x v="1"/>
    <x v="2"/>
    <x v="3"/>
    <x v="24"/>
    <x v="3"/>
    <x v="3"/>
    <x v="30"/>
  </r>
  <r>
    <x v="242"/>
    <d v="2022-12-27T00:00:00"/>
    <x v="0"/>
    <n v="3.49"/>
    <x v="1"/>
    <x v="2"/>
    <x v="3"/>
    <x v="7"/>
    <x v="3"/>
    <x v="3"/>
    <x v="7"/>
  </r>
  <r>
    <x v="243"/>
    <d v="2022-12-27T00:00:00"/>
    <x v="1"/>
    <n v="2.95"/>
    <x v="1"/>
    <x v="0"/>
    <x v="3"/>
    <x v="6"/>
    <x v="3"/>
    <x v="3"/>
    <x v="6"/>
  </r>
  <r>
    <x v="244"/>
    <d v="2022-12-27T00:00:00"/>
    <x v="2"/>
    <n v="4.99"/>
    <x v="2"/>
    <x v="0"/>
    <x v="3"/>
    <x v="2"/>
    <x v="3"/>
    <x v="3"/>
    <x v="2"/>
  </r>
  <r>
    <x v="245"/>
    <d v="2022-12-28T00:00:00"/>
    <x v="3"/>
    <n v="12.99"/>
    <x v="2"/>
    <x v="0"/>
    <x v="3"/>
    <x v="25"/>
    <x v="3"/>
    <x v="3"/>
    <x v="31"/>
  </r>
  <r>
    <x v="246"/>
    <d v="2022-12-28T00:00:00"/>
    <x v="4"/>
    <n v="9.9499999999999993"/>
    <x v="2"/>
    <x v="0"/>
    <x v="3"/>
    <x v="26"/>
    <x v="3"/>
    <x v="3"/>
    <x v="32"/>
  </r>
  <r>
    <x v="247"/>
    <d v="2022-12-28T00:00:00"/>
    <x v="0"/>
    <n v="3.49"/>
    <x v="2"/>
    <x v="0"/>
    <x v="3"/>
    <x v="7"/>
    <x v="3"/>
    <x v="3"/>
    <x v="7"/>
  </r>
  <r>
    <x v="248"/>
    <d v="2022-12-28T00:00:00"/>
    <x v="1"/>
    <n v="2.95"/>
    <x v="2"/>
    <x v="0"/>
    <x v="3"/>
    <x v="6"/>
    <x v="3"/>
    <x v="3"/>
    <x v="6"/>
  </r>
  <r>
    <x v="249"/>
    <d v="2022-12-28T00:00:00"/>
    <x v="2"/>
    <n v="4.99"/>
    <x v="2"/>
    <x v="0"/>
    <x v="3"/>
    <x v="2"/>
    <x v="3"/>
    <x v="3"/>
    <x v="2"/>
  </r>
  <r>
    <x v="250"/>
    <d v="2022-12-29T00:00:00"/>
    <x v="3"/>
    <n v="12.99"/>
    <x v="2"/>
    <x v="0"/>
    <x v="3"/>
    <x v="27"/>
    <x v="3"/>
    <x v="3"/>
    <x v="33"/>
  </r>
  <r>
    <x v="251"/>
    <d v="2022-12-29T00:00:00"/>
    <x v="4"/>
    <n v="9.9499999999999993"/>
    <x v="2"/>
    <x v="0"/>
    <x v="3"/>
    <x v="24"/>
    <x v="3"/>
    <x v="3"/>
    <x v="30"/>
  </r>
  <r>
    <x v="252"/>
    <d v="2022-12-29T00:00:00"/>
    <x v="0"/>
    <n v="3.49"/>
    <x v="2"/>
    <x v="0"/>
    <x v="3"/>
    <x v="7"/>
    <x v="3"/>
    <x v="3"/>
    <x v="7"/>
  </r>
  <r>
    <x v="253"/>
    <d v="2022-12-29T00:00:00"/>
    <x v="1"/>
    <n v="2.95"/>
    <x v="2"/>
    <x v="0"/>
    <x v="3"/>
    <x v="6"/>
    <x v="3"/>
    <x v="3"/>
    <x v="6"/>
  </r>
</pivotCacheRecords>
</file>

<file path=xl/pivotCache/richPivot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x v="0"/>
    <n v="3.49"/>
    <n v="574"/>
    <n v="0.88"/>
    <x v="0"/>
    <x v="0"/>
    <s v="Online "/>
    <s v=" Gift Card"/>
    <s v="Tom Jackson"/>
    <n v="2003.2600000000002"/>
  </r>
  <r>
    <x v="1"/>
    <x v="0"/>
    <x v="1"/>
    <n v="2.95"/>
    <n v="746"/>
    <n v="0.47"/>
    <x v="1"/>
    <x v="1"/>
    <s v="Online "/>
    <s v=" Gift Card"/>
    <s v="Pablo Perez"/>
    <n v="2200.7000000000003"/>
  </r>
  <r>
    <x v="2"/>
    <x v="0"/>
    <x v="2"/>
    <n v="4.99"/>
    <n v="201"/>
    <n v="2.25"/>
    <x v="2"/>
    <x v="2"/>
    <s v="In-store "/>
    <s v=" Gift Card"/>
    <s v="Joao Silva"/>
    <n v="1002.99"/>
  </r>
  <r>
    <x v="3"/>
    <x v="1"/>
    <x v="3"/>
    <n v="12.99"/>
    <n v="570"/>
    <n v="4.32"/>
    <x v="3"/>
    <x v="3"/>
    <s v="In-store "/>
    <s v=" Credit Card"/>
    <s v="Walter Muller"/>
    <n v="7404.3"/>
  </r>
  <r>
    <x v="4"/>
    <x v="1"/>
    <x v="4"/>
    <n v="9.9499999999999993"/>
    <n v="202"/>
    <n v="2.85"/>
    <x v="3"/>
    <x v="3"/>
    <s v="In-store "/>
    <s v=" Credit Card"/>
    <s v="Walter Muller"/>
    <n v="2009.8999999999999"/>
  </r>
  <r>
    <x v="5"/>
    <x v="1"/>
    <x v="0"/>
    <n v="3.49"/>
    <n v="574"/>
    <n v="0.88"/>
    <x v="4"/>
    <x v="4"/>
    <s v="In-store "/>
    <s v=" Credit Card"/>
    <s v="Remy Monet"/>
    <n v="2003.2600000000002"/>
  </r>
  <r>
    <x v="6"/>
    <x v="1"/>
    <x v="2"/>
    <n v="4.99"/>
    <n v="201"/>
    <n v="2.25"/>
    <x v="4"/>
    <x v="4"/>
    <s v="In-store "/>
    <s v=" Credit Card"/>
    <s v="Remy Monet"/>
    <n v="1002.99"/>
  </r>
  <r>
    <x v="7"/>
    <x v="2"/>
    <x v="3"/>
    <n v="12.99"/>
    <n v="555"/>
    <n v="4.32"/>
    <x v="3"/>
    <x v="3"/>
    <s v="In-store "/>
    <s v=" Credit Card"/>
    <s v="Walter Muller"/>
    <n v="7209.45"/>
  </r>
  <r>
    <x v="8"/>
    <x v="2"/>
    <x v="4"/>
    <n v="9.9499999999999993"/>
    <n v="202"/>
    <n v="2.85"/>
    <x v="4"/>
    <x v="4"/>
    <s v="In-store "/>
    <s v=" Credit Card"/>
    <s v="Remy Monet"/>
    <n v="2009.8999999999999"/>
  </r>
  <r>
    <x v="9"/>
    <x v="2"/>
    <x v="0"/>
    <n v="3.49"/>
    <n v="574"/>
    <n v="0.88"/>
    <x v="4"/>
    <x v="4"/>
    <s v="In-store "/>
    <s v=" Credit Card"/>
    <s v="Remy Monet"/>
    <n v="2003.2600000000002"/>
  </r>
  <r>
    <x v="10"/>
    <x v="2"/>
    <x v="1"/>
    <n v="2.95"/>
    <n v="678"/>
    <n v="0.47"/>
    <x v="4"/>
    <x v="4"/>
    <s v="In-store "/>
    <s v=" Credit Card"/>
    <s v="Remy Monet"/>
    <n v="2000.1000000000001"/>
  </r>
  <r>
    <x v="11"/>
    <x v="2"/>
    <x v="2"/>
    <n v="4.99"/>
    <n v="201"/>
    <n v="2.25"/>
    <x v="4"/>
    <x v="4"/>
    <s v="In-store "/>
    <s v=" Credit Card"/>
    <s v="Remy Monet"/>
    <n v="1002.99"/>
  </r>
  <r>
    <x v="12"/>
    <x v="3"/>
    <x v="3"/>
    <n v="12.99"/>
    <n v="555"/>
    <n v="4.32"/>
    <x v="1"/>
    <x v="1"/>
    <s v="In-store "/>
    <s v=" Credit Card"/>
    <s v="Pablo Perez"/>
    <n v="7209.45"/>
  </r>
  <r>
    <x v="13"/>
    <x v="3"/>
    <x v="4"/>
    <n v="9.9499999999999993"/>
    <n v="202"/>
    <n v="2.85"/>
    <x v="1"/>
    <x v="1"/>
    <s v="In-store "/>
    <s v=" Credit Card"/>
    <s v="Pablo Perez"/>
    <n v="2009.8999999999999"/>
  </r>
  <r>
    <x v="14"/>
    <x v="3"/>
    <x v="0"/>
    <n v="3.49"/>
    <n v="574"/>
    <n v="0.88"/>
    <x v="1"/>
    <x v="1"/>
    <s v="In-store "/>
    <s v=" Credit Card"/>
    <s v="Pablo Perez"/>
    <n v="2003.2600000000002"/>
  </r>
  <r>
    <x v="15"/>
    <x v="3"/>
    <x v="1"/>
    <n v="2.95"/>
    <n v="678"/>
    <n v="0.47"/>
    <x v="1"/>
    <x v="1"/>
    <s v="In-store "/>
    <s v=" Credit Card"/>
    <s v="Pablo Perez"/>
    <n v="2000.1000000000001"/>
  </r>
  <r>
    <x v="16"/>
    <x v="4"/>
    <x v="3"/>
    <n v="12.99"/>
    <n v="555"/>
    <n v="4.32"/>
    <x v="1"/>
    <x v="1"/>
    <s v="In-store "/>
    <s v=" Credit Card"/>
    <s v="Pablo Perez"/>
    <n v="7209.45"/>
  </r>
  <r>
    <x v="17"/>
    <x v="4"/>
    <x v="4"/>
    <n v="9.9499999999999993"/>
    <n v="202"/>
    <n v="2.85"/>
    <x v="1"/>
    <x v="1"/>
    <s v="In-store "/>
    <s v=" Credit Card"/>
    <s v="Pablo Perez"/>
    <n v="2009.8999999999999"/>
  </r>
  <r>
    <x v="18"/>
    <x v="4"/>
    <x v="0"/>
    <n v="3.49"/>
    <n v="631"/>
    <n v="0.88"/>
    <x v="1"/>
    <x v="1"/>
    <s v="In-store "/>
    <s v=" Credit Card"/>
    <s v="Pablo Perez"/>
    <n v="2202.19"/>
  </r>
  <r>
    <x v="19"/>
    <x v="4"/>
    <x v="1"/>
    <n v="2.95"/>
    <n v="678"/>
    <n v="0.47"/>
    <x v="1"/>
    <x v="1"/>
    <s v="In-store "/>
    <s v=" Credit Card"/>
    <s v="Pablo Perez"/>
    <n v="2000.1000000000001"/>
  </r>
  <r>
    <x v="20"/>
    <x v="4"/>
    <x v="2"/>
    <n v="4.99"/>
    <n v="201"/>
    <n v="2.25"/>
    <x v="1"/>
    <x v="1"/>
    <s v="In-store "/>
    <s v=" Credit Card"/>
    <s v="Pablo Perez"/>
    <n v="1002.99"/>
  </r>
  <r>
    <x v="21"/>
    <x v="5"/>
    <x v="3"/>
    <n v="12.99"/>
    <n v="524"/>
    <n v="4.32"/>
    <x v="1"/>
    <x v="1"/>
    <s v="In-store "/>
    <s v=" Credit Card"/>
    <s v="Pablo Perez"/>
    <n v="6806.76"/>
  </r>
  <r>
    <x v="22"/>
    <x v="5"/>
    <x v="4"/>
    <n v="9.9499999999999993"/>
    <n v="202"/>
    <n v="2.85"/>
    <x v="1"/>
    <x v="1"/>
    <s v="In-store "/>
    <s v=" Credit Card"/>
    <s v="Pablo Perez"/>
    <n v="2009.8999999999999"/>
  </r>
  <r>
    <x v="23"/>
    <x v="5"/>
    <x v="0"/>
    <n v="3.49"/>
    <n v="631"/>
    <n v="0.88"/>
    <x v="1"/>
    <x v="1"/>
    <s v="In-store "/>
    <s v=" Credit Card"/>
    <s v="Pablo Perez"/>
    <n v="2202.19"/>
  </r>
  <r>
    <x v="24"/>
    <x v="5"/>
    <x v="1"/>
    <n v="2.95"/>
    <n v="678"/>
    <n v="0.47"/>
    <x v="1"/>
    <x v="1"/>
    <s v="In-store "/>
    <s v=" Credit Card"/>
    <s v="Pablo Perez"/>
    <n v="2000.1000000000001"/>
  </r>
  <r>
    <x v="25"/>
    <x v="5"/>
    <x v="2"/>
    <n v="4.99"/>
    <n v="201"/>
    <n v="2.25"/>
    <x v="1"/>
    <x v="1"/>
    <s v="In-store "/>
    <s v=" Credit Card"/>
    <s v="Pablo Perez"/>
    <n v="1002.99"/>
  </r>
  <r>
    <x v="26"/>
    <x v="6"/>
    <x v="3"/>
    <n v="12.99"/>
    <n v="509"/>
    <n v="4.32"/>
    <x v="1"/>
    <x v="1"/>
    <s v="In-store "/>
    <s v=" Credit Card"/>
    <s v="Pablo Perez"/>
    <n v="6611.91"/>
  </r>
  <r>
    <x v="27"/>
    <x v="6"/>
    <x v="4"/>
    <n v="9.9499999999999993"/>
    <n v="202"/>
    <n v="2.85"/>
    <x v="1"/>
    <x v="1"/>
    <s v="In-store "/>
    <s v=" Credit Card"/>
    <s v="Pablo Perez"/>
    <n v="2009.8999999999999"/>
  </r>
  <r>
    <x v="28"/>
    <x v="6"/>
    <x v="0"/>
    <n v="25.5"/>
    <n v="631"/>
    <n v="0.88"/>
    <x v="2"/>
    <x v="2"/>
    <s v="In-store "/>
    <s v=" Credit Card"/>
    <s v="Joao Silva"/>
    <n v="16090.5"/>
  </r>
  <r>
    <x v="29"/>
    <x v="6"/>
    <x v="1"/>
    <n v="33.22"/>
    <n v="678"/>
    <n v="0.47"/>
    <x v="2"/>
    <x v="2"/>
    <s v="In-store "/>
    <s v=" Credit Card"/>
    <s v="Joao Silva"/>
    <n v="22523.16"/>
  </r>
  <r>
    <x v="30"/>
    <x v="6"/>
    <x v="2"/>
    <n v="21.44"/>
    <n v="201"/>
    <n v="2.25"/>
    <x v="2"/>
    <x v="2"/>
    <s v="In-store "/>
    <s v=" Credit Card"/>
    <s v="Joao Silva"/>
    <n v="4309.4400000000005"/>
  </r>
  <r>
    <x v="31"/>
    <x v="7"/>
    <x v="3"/>
    <n v="27.99"/>
    <n v="524"/>
    <n v="4.32"/>
    <x v="2"/>
    <x v="2"/>
    <s v="In-store "/>
    <s v=" Credit Card"/>
    <s v="Joao Silva"/>
    <n v="14666.759999999998"/>
  </r>
  <r>
    <x v="32"/>
    <x v="7"/>
    <x v="4"/>
    <n v="29.05"/>
    <n v="202"/>
    <n v="2.85"/>
    <x v="2"/>
    <x v="2"/>
    <s v="In-store "/>
    <s v=" Credit Card"/>
    <s v="Joao Silva"/>
    <n v="5868.1"/>
  </r>
  <r>
    <x v="33"/>
    <x v="7"/>
    <x v="0"/>
    <n v="3.49"/>
    <n v="631"/>
    <n v="0.88"/>
    <x v="2"/>
    <x v="2"/>
    <s v="In-store "/>
    <s v=" Credit Card"/>
    <s v="Joao Silva"/>
    <n v="2202.19"/>
  </r>
  <r>
    <x v="34"/>
    <x v="7"/>
    <x v="1"/>
    <n v="2.95"/>
    <n v="678"/>
    <n v="0.47"/>
    <x v="2"/>
    <x v="2"/>
    <s v="In-store "/>
    <s v=" Credit Card"/>
    <s v="Joao Silva"/>
    <n v="2000.1000000000001"/>
  </r>
  <r>
    <x v="35"/>
    <x v="7"/>
    <x v="2"/>
    <n v="4.99"/>
    <n v="201"/>
    <n v="2.25"/>
    <x v="1"/>
    <x v="1"/>
    <s v="In-store "/>
    <s v=" Credit Card"/>
    <s v="Pablo Perez"/>
    <n v="1002.99"/>
  </r>
  <r>
    <x v="36"/>
    <x v="8"/>
    <x v="3"/>
    <n v="12.99"/>
    <n v="509"/>
    <n v="4.32"/>
    <x v="1"/>
    <x v="1"/>
    <s v="In-store "/>
    <s v=" Credit Card"/>
    <s v="Pablo Perez"/>
    <n v="6611.91"/>
  </r>
  <r>
    <x v="37"/>
    <x v="8"/>
    <x v="4"/>
    <n v="9.9499999999999993"/>
    <n v="202"/>
    <n v="2.85"/>
    <x v="1"/>
    <x v="1"/>
    <s v="In-store "/>
    <s v=" Credit Card"/>
    <s v="Pablo Perez"/>
    <n v="2009.8999999999999"/>
  </r>
  <r>
    <x v="38"/>
    <x v="8"/>
    <x v="0"/>
    <n v="3.49"/>
    <n v="574"/>
    <n v="0.88"/>
    <x v="1"/>
    <x v="1"/>
    <s v="In-store "/>
    <s v=" Credit Card"/>
    <s v="Pablo Perez"/>
    <n v="2003.2600000000002"/>
  </r>
  <r>
    <x v="39"/>
    <x v="8"/>
    <x v="1"/>
    <n v="2.95"/>
    <n v="678"/>
    <n v="0.47"/>
    <x v="1"/>
    <x v="1"/>
    <s v="In-store "/>
    <s v=" Credit Card"/>
    <s v="Pablo Perez"/>
    <n v="2000.1000000000001"/>
  </r>
  <r>
    <x v="40"/>
    <x v="8"/>
    <x v="2"/>
    <n v="4.99"/>
    <n v="201"/>
    <n v="2.25"/>
    <x v="1"/>
    <x v="1"/>
    <s v="In-store "/>
    <s v=" Credit Card"/>
    <s v="Pablo Perez"/>
    <n v="1002.99"/>
  </r>
  <r>
    <x v="41"/>
    <x v="9"/>
    <x v="3"/>
    <n v="12.99"/>
    <n v="509"/>
    <n v="4.32"/>
    <x v="1"/>
    <x v="1"/>
    <s v="In-store "/>
    <s v=" Credit Card"/>
    <s v="Pablo Perez"/>
    <n v="6611.91"/>
  </r>
  <r>
    <x v="42"/>
    <x v="9"/>
    <x v="4"/>
    <n v="9.9499999999999993"/>
    <n v="202"/>
    <n v="2.85"/>
    <x v="1"/>
    <x v="1"/>
    <s v="In-store "/>
    <s v=" Credit Card"/>
    <s v="Pablo Perez"/>
    <n v="2009.8999999999999"/>
  </r>
  <r>
    <x v="43"/>
    <x v="9"/>
    <x v="0"/>
    <n v="3.49"/>
    <n v="574"/>
    <n v="0.88"/>
    <x v="1"/>
    <x v="1"/>
    <s v="In-store "/>
    <s v=" Credit Card"/>
    <s v="Pablo Perez"/>
    <n v="2003.2600000000002"/>
  </r>
  <r>
    <x v="44"/>
    <x v="9"/>
    <x v="1"/>
    <n v="2.95"/>
    <n v="678"/>
    <n v="0.47"/>
    <x v="1"/>
    <x v="1"/>
    <s v="Drive-thru "/>
    <s v=" Credit Card"/>
    <s v="Pablo Perez"/>
    <n v="2000.1000000000001"/>
  </r>
  <r>
    <x v="45"/>
    <x v="9"/>
    <x v="2"/>
    <n v="4.99"/>
    <n v="201"/>
    <n v="2.25"/>
    <x v="1"/>
    <x v="1"/>
    <s v="Drive-thru "/>
    <s v=" Credit Card"/>
    <s v="Pablo Perez"/>
    <n v="1002.99"/>
  </r>
  <r>
    <x v="46"/>
    <x v="10"/>
    <x v="3"/>
    <n v="12.99"/>
    <n v="524"/>
    <n v="4.32"/>
    <x v="1"/>
    <x v="1"/>
    <s v="Drive-thru "/>
    <s v=" Credit Card"/>
    <s v="Pablo Perez"/>
    <n v="6806.76"/>
  </r>
  <r>
    <x v="47"/>
    <x v="10"/>
    <x v="4"/>
    <n v="9.9499999999999993"/>
    <n v="202"/>
    <n v="2.85"/>
    <x v="1"/>
    <x v="1"/>
    <s v="Drive-thru "/>
    <s v=" Credit Card"/>
    <s v="Pablo Perez"/>
    <n v="2009.8999999999999"/>
  </r>
  <r>
    <x v="48"/>
    <x v="10"/>
    <x v="0"/>
    <n v="3.49"/>
    <n v="631"/>
    <n v="0.88"/>
    <x v="1"/>
    <x v="1"/>
    <s v="Drive-thru "/>
    <s v=" Credit Card"/>
    <s v="Pablo Perez"/>
    <n v="2202.19"/>
  </r>
  <r>
    <x v="49"/>
    <x v="10"/>
    <x v="1"/>
    <n v="2.95"/>
    <n v="678"/>
    <n v="0.47"/>
    <x v="1"/>
    <x v="1"/>
    <s v="Drive-thru "/>
    <s v=" Credit Card"/>
    <s v="Pablo Perez"/>
    <n v="2000.1000000000001"/>
  </r>
  <r>
    <x v="50"/>
    <x v="10"/>
    <x v="2"/>
    <n v="4.99"/>
    <n v="201"/>
    <n v="2.25"/>
    <x v="1"/>
    <x v="1"/>
    <s v="Drive-thru "/>
    <s v=" Credit Card"/>
    <s v="Pablo Perez"/>
    <n v="1002.99"/>
  </r>
  <r>
    <x v="51"/>
    <x v="11"/>
    <x v="3"/>
    <n v="12.99"/>
    <n v="539"/>
    <n v="4.32"/>
    <x v="1"/>
    <x v="1"/>
    <s v="Drive-thru "/>
    <s v=" Credit Card"/>
    <s v="Pablo Perez"/>
    <n v="7001.61"/>
  </r>
  <r>
    <x v="52"/>
    <x v="11"/>
    <x v="4"/>
    <n v="9.9499999999999993"/>
    <n v="202"/>
    <n v="2.85"/>
    <x v="1"/>
    <x v="1"/>
    <s v="Drive-thru "/>
    <s v=" Credit Card"/>
    <s v="Pablo Perez"/>
    <n v="2009.8999999999999"/>
  </r>
  <r>
    <x v="53"/>
    <x v="11"/>
    <x v="0"/>
    <n v="3.49"/>
    <n v="688"/>
    <n v="0.88"/>
    <x v="1"/>
    <x v="1"/>
    <s v="Drive-thru "/>
    <s v=" Credit Card"/>
    <s v="Pablo Perez"/>
    <n v="2401.1200000000003"/>
  </r>
  <r>
    <x v="54"/>
    <x v="11"/>
    <x v="1"/>
    <n v="2.95"/>
    <n v="678"/>
    <n v="0.47"/>
    <x v="1"/>
    <x v="1"/>
    <s v="Drive-thru "/>
    <s v=" Credit Card"/>
    <s v="Pablo Perez"/>
    <n v="2000.1000000000001"/>
  </r>
  <r>
    <x v="55"/>
    <x v="11"/>
    <x v="2"/>
    <n v="4.99"/>
    <n v="201"/>
    <n v="2.25"/>
    <x v="1"/>
    <x v="1"/>
    <s v="Drive-thru "/>
    <s v=" Credit Card"/>
    <s v="Pablo Perez"/>
    <n v="1002.99"/>
  </r>
  <r>
    <x v="56"/>
    <x v="12"/>
    <x v="3"/>
    <n v="12.99"/>
    <n v="509"/>
    <n v="4.32"/>
    <x v="1"/>
    <x v="1"/>
    <s v="Drive-thru "/>
    <s v=" Credit Card"/>
    <s v="Pablo Perez"/>
    <n v="6611.91"/>
  </r>
  <r>
    <x v="57"/>
    <x v="12"/>
    <x v="4"/>
    <n v="9.9499999999999993"/>
    <n v="202"/>
    <n v="2.85"/>
    <x v="2"/>
    <x v="2"/>
    <s v="Drive-thru "/>
    <s v=" Credit Card"/>
    <s v="Joao Silva"/>
    <n v="2009.8999999999999"/>
  </r>
  <r>
    <x v="58"/>
    <x v="12"/>
    <x v="0"/>
    <n v="3.49"/>
    <n v="688"/>
    <n v="0.88"/>
    <x v="2"/>
    <x v="2"/>
    <s v="Drive-thru "/>
    <s v=" Credit Card"/>
    <s v="Joao Silva"/>
    <n v="2401.1200000000003"/>
  </r>
  <r>
    <x v="59"/>
    <x v="12"/>
    <x v="1"/>
    <n v="2.95"/>
    <n v="678"/>
    <n v="0.47"/>
    <x v="2"/>
    <x v="2"/>
    <s v="Drive-thru "/>
    <s v=" Cash"/>
    <s v="Joao Silva"/>
    <n v="2000.1000000000001"/>
  </r>
  <r>
    <x v="60"/>
    <x v="12"/>
    <x v="2"/>
    <n v="4.99"/>
    <n v="201"/>
    <n v="2.25"/>
    <x v="2"/>
    <x v="2"/>
    <s v="Drive-thru "/>
    <s v=" Cash"/>
    <s v="Joao Silva"/>
    <n v="1002.99"/>
  </r>
  <r>
    <x v="61"/>
    <x v="13"/>
    <x v="3"/>
    <n v="12.99"/>
    <n v="478"/>
    <n v="4.32"/>
    <x v="2"/>
    <x v="2"/>
    <s v="Drive-thru "/>
    <s v=" Cash"/>
    <s v="Joao Silva"/>
    <n v="6209.22"/>
  </r>
  <r>
    <x v="62"/>
    <x v="13"/>
    <x v="4"/>
    <n v="9.9499999999999993"/>
    <n v="202"/>
    <n v="2.85"/>
    <x v="2"/>
    <x v="2"/>
    <s v="Drive-thru "/>
    <s v=" Cash"/>
    <s v="Joao Silva"/>
    <n v="2009.8999999999999"/>
  </r>
  <r>
    <x v="63"/>
    <x v="14"/>
    <x v="3"/>
    <n v="12.99"/>
    <n v="493"/>
    <n v="4.32"/>
    <x v="4"/>
    <x v="4"/>
    <s v="Drive-thru "/>
    <s v=" Cash"/>
    <s v="Remy Monet"/>
    <n v="6404.07"/>
  </r>
  <r>
    <x v="64"/>
    <x v="14"/>
    <x v="4"/>
    <n v="9.9499999999999993"/>
    <n v="202"/>
    <n v="2.85"/>
    <x v="4"/>
    <x v="4"/>
    <s v="Drive-thru "/>
    <s v=" Cash"/>
    <s v="Remy Monet"/>
    <n v="2009.8999999999999"/>
  </r>
  <r>
    <x v="65"/>
    <x v="14"/>
    <x v="0"/>
    <n v="3.49"/>
    <n v="688"/>
    <n v="0.88"/>
    <x v="4"/>
    <x v="4"/>
    <s v="Drive-thru "/>
    <s v=" Cash"/>
    <s v="Remy Monet"/>
    <n v="2401.1200000000003"/>
  </r>
  <r>
    <x v="66"/>
    <x v="14"/>
    <x v="1"/>
    <n v="2.95"/>
    <n v="746"/>
    <n v="0.47"/>
    <x v="4"/>
    <x v="4"/>
    <s v="Drive-thru "/>
    <s v=" Cash"/>
    <s v="Remy Monet"/>
    <n v="2200.7000000000003"/>
  </r>
  <r>
    <x v="67"/>
    <x v="14"/>
    <x v="2"/>
    <n v="4.99"/>
    <n v="201"/>
    <n v="2.25"/>
    <x v="4"/>
    <x v="4"/>
    <s v="Drive-thru "/>
    <s v=" Cash"/>
    <s v="Remy Monet"/>
    <n v="1002.99"/>
  </r>
  <r>
    <x v="68"/>
    <x v="15"/>
    <x v="3"/>
    <n v="12.99"/>
    <n v="462"/>
    <n v="4.32"/>
    <x v="4"/>
    <x v="4"/>
    <s v="Drive-thru "/>
    <s v=" Cash"/>
    <s v="Remy Monet"/>
    <n v="6001.38"/>
  </r>
  <r>
    <x v="69"/>
    <x v="15"/>
    <x v="4"/>
    <n v="9.9499999999999993"/>
    <n v="202"/>
    <n v="2.85"/>
    <x v="4"/>
    <x v="4"/>
    <s v="Drive-thru "/>
    <s v=" Cash"/>
    <s v="Remy Monet"/>
    <n v="2009.8999999999999"/>
  </r>
  <r>
    <x v="70"/>
    <x v="15"/>
    <x v="0"/>
    <n v="3.49"/>
    <n v="688"/>
    <n v="0.88"/>
    <x v="4"/>
    <x v="4"/>
    <s v="Drive-thru "/>
    <s v=" Cash"/>
    <s v="Remy Monet"/>
    <n v="2401.1200000000003"/>
  </r>
  <r>
    <x v="71"/>
    <x v="15"/>
    <x v="1"/>
    <n v="2.95"/>
    <n v="746"/>
    <n v="0.47"/>
    <x v="4"/>
    <x v="4"/>
    <s v="Drive-thru "/>
    <s v=" Cash"/>
    <s v="Remy Monet"/>
    <n v="2200.7000000000003"/>
  </r>
  <r>
    <x v="72"/>
    <x v="15"/>
    <x v="2"/>
    <n v="4.99"/>
    <n v="201"/>
    <n v="2.25"/>
    <x v="4"/>
    <x v="4"/>
    <s v="Drive-thru "/>
    <s v=" Cash"/>
    <s v="Remy Monet"/>
    <n v="1002.99"/>
  </r>
  <r>
    <x v="73"/>
    <x v="16"/>
    <x v="3"/>
    <n v="12.99"/>
    <n v="478"/>
    <n v="4.32"/>
    <x v="4"/>
    <x v="4"/>
    <s v="Drive-thru "/>
    <s v=" Cash"/>
    <s v="Remy Monet"/>
    <n v="6209.22"/>
  </r>
  <r>
    <x v="74"/>
    <x v="16"/>
    <x v="4"/>
    <n v="9.9499999999999993"/>
    <n v="202"/>
    <n v="2.85"/>
    <x v="4"/>
    <x v="4"/>
    <s v="Drive-thru "/>
    <s v=" Cash"/>
    <s v="Remy Monet"/>
    <n v="2009.8999999999999"/>
  </r>
  <r>
    <x v="75"/>
    <x v="16"/>
    <x v="0"/>
    <n v="3.49"/>
    <n v="688"/>
    <n v="0.88"/>
    <x v="2"/>
    <x v="2"/>
    <s v="Drive-thru "/>
    <s v=" Cash"/>
    <s v="Joao Silva"/>
    <n v="2401.1200000000003"/>
  </r>
  <r>
    <x v="76"/>
    <x v="16"/>
    <x v="1"/>
    <n v="2.95"/>
    <n v="746"/>
    <n v="0.47"/>
    <x v="2"/>
    <x v="2"/>
    <s v="Drive-thru "/>
    <s v=" Cash"/>
    <s v="Joao Silva"/>
    <n v="2200.7000000000003"/>
  </r>
  <r>
    <x v="77"/>
    <x v="16"/>
    <x v="2"/>
    <n v="4.99"/>
    <n v="201"/>
    <n v="2.25"/>
    <x v="1"/>
    <x v="1"/>
    <s v="Drive-thru "/>
    <s v=" Cash"/>
    <s v="Pablo Perez"/>
    <n v="1002.99"/>
  </r>
  <r>
    <x v="78"/>
    <x v="17"/>
    <x v="3"/>
    <n v="12.99"/>
    <n v="478"/>
    <n v="4.32"/>
    <x v="1"/>
    <x v="1"/>
    <s v="Drive-thru "/>
    <s v=" Credit Card"/>
    <s v="Pablo Perez"/>
    <n v="6209.22"/>
  </r>
  <r>
    <x v="79"/>
    <x v="17"/>
    <x v="4"/>
    <n v="9.9499999999999993"/>
    <n v="202"/>
    <n v="2.85"/>
    <x v="1"/>
    <x v="1"/>
    <s v="Drive-thru "/>
    <s v=" Credit Card"/>
    <s v="Pablo Perez"/>
    <n v="2009.8999999999999"/>
  </r>
  <r>
    <x v="80"/>
    <x v="17"/>
    <x v="0"/>
    <n v="3.49"/>
    <n v="631"/>
    <n v="0.88"/>
    <x v="1"/>
    <x v="1"/>
    <s v="Drive-thru "/>
    <s v=" Credit Card"/>
    <s v="Pablo Perez"/>
    <n v="2202.19"/>
  </r>
  <r>
    <x v="81"/>
    <x v="17"/>
    <x v="1"/>
    <n v="2.95"/>
    <n v="746"/>
    <n v="0.47"/>
    <x v="1"/>
    <x v="1"/>
    <s v="Drive-thru "/>
    <s v=" Credit Card"/>
    <s v="Pablo Perez"/>
    <n v="2200.7000000000003"/>
  </r>
  <r>
    <x v="82"/>
    <x v="17"/>
    <x v="2"/>
    <n v="4.99"/>
    <n v="201"/>
    <n v="2.25"/>
    <x v="1"/>
    <x v="1"/>
    <s v="Drive-thru "/>
    <s v=" Credit Card"/>
    <s v="Pablo Perez"/>
    <n v="1002.99"/>
  </r>
  <r>
    <x v="83"/>
    <x v="18"/>
    <x v="3"/>
    <n v="12.99"/>
    <n v="462"/>
    <n v="4.32"/>
    <x v="1"/>
    <x v="1"/>
    <s v="Drive-thru "/>
    <s v=" Credit Card"/>
    <s v="Pablo Perez"/>
    <n v="6001.38"/>
  </r>
  <r>
    <x v="84"/>
    <x v="18"/>
    <x v="4"/>
    <n v="9.9499999999999993"/>
    <n v="202"/>
    <n v="2.85"/>
    <x v="0"/>
    <x v="0"/>
    <s v="Drive-thru "/>
    <s v=" Credit Card"/>
    <s v="Tom Jackson"/>
    <n v="2009.8999999999999"/>
  </r>
  <r>
    <x v="85"/>
    <x v="18"/>
    <x v="0"/>
    <n v="3.49"/>
    <n v="631"/>
    <n v="0.88"/>
    <x v="0"/>
    <x v="0"/>
    <s v="Drive-thru "/>
    <s v=" Credit Card"/>
    <s v="Tom Jackson"/>
    <n v="2202.19"/>
  </r>
  <r>
    <x v="86"/>
    <x v="18"/>
    <x v="1"/>
    <n v="2.95"/>
    <n v="746"/>
    <n v="0.47"/>
    <x v="0"/>
    <x v="0"/>
    <s v="Drive-thru "/>
    <s v=" Credit Card"/>
    <s v="Tom Jackson"/>
    <n v="2200.7000000000003"/>
  </r>
  <r>
    <x v="87"/>
    <x v="18"/>
    <x v="2"/>
    <n v="4.99"/>
    <n v="201"/>
    <n v="2.25"/>
    <x v="0"/>
    <x v="0"/>
    <s v="Drive-thru "/>
    <s v=" Credit Card"/>
    <s v="Tom Jackson"/>
    <n v="1002.99"/>
  </r>
  <r>
    <x v="88"/>
    <x v="19"/>
    <x v="3"/>
    <n v="12.99"/>
    <n v="447"/>
    <n v="4.32"/>
    <x v="0"/>
    <x v="0"/>
    <s v="Drive-thru "/>
    <s v=" Credit Card"/>
    <s v="Tom Jackson"/>
    <n v="5806.53"/>
  </r>
  <r>
    <x v="89"/>
    <x v="19"/>
    <x v="4"/>
    <n v="9.9499999999999993"/>
    <n v="202"/>
    <n v="2.85"/>
    <x v="0"/>
    <x v="0"/>
    <s v="Drive-thru "/>
    <s v=" Credit Card"/>
    <s v="Tom Jackson"/>
    <n v="2009.8999999999999"/>
  </r>
  <r>
    <x v="90"/>
    <x v="19"/>
    <x v="0"/>
    <n v="3.49"/>
    <n v="631"/>
    <n v="0.88"/>
    <x v="0"/>
    <x v="0"/>
    <s v="Drive-thru "/>
    <s v=" Credit Card"/>
    <s v="Tom Jackson"/>
    <n v="2202.19"/>
  </r>
  <r>
    <x v="91"/>
    <x v="19"/>
    <x v="1"/>
    <n v="2.95"/>
    <n v="746"/>
    <n v="0.47"/>
    <x v="0"/>
    <x v="0"/>
    <s v="Drive-thru "/>
    <s v=" Credit Card"/>
    <s v="Tom Jackson"/>
    <n v="2200.7000000000003"/>
  </r>
  <r>
    <x v="92"/>
    <x v="19"/>
    <x v="2"/>
    <n v="4.99"/>
    <n v="201"/>
    <n v="2.25"/>
    <x v="0"/>
    <x v="0"/>
    <s v="Drive-thru "/>
    <s v=" Credit Card"/>
    <s v="Tom Jackson"/>
    <n v="1002.99"/>
  </r>
  <r>
    <x v="93"/>
    <x v="20"/>
    <x v="3"/>
    <n v="12.99"/>
    <n v="462"/>
    <n v="4.32"/>
    <x v="0"/>
    <x v="0"/>
    <s v="Drive-thru "/>
    <s v=" Credit Card"/>
    <s v="Tom Jackson"/>
    <n v="6001.38"/>
  </r>
  <r>
    <x v="94"/>
    <x v="20"/>
    <x v="4"/>
    <n v="9.9499999999999993"/>
    <n v="202"/>
    <n v="2.85"/>
    <x v="0"/>
    <x v="0"/>
    <s v="Drive-thru "/>
    <s v=" Credit Card"/>
    <s v="Tom Jackson"/>
    <n v="2009.8999999999999"/>
  </r>
  <r>
    <x v="95"/>
    <x v="20"/>
    <x v="0"/>
    <n v="3.49"/>
    <n v="631"/>
    <n v="0.88"/>
    <x v="0"/>
    <x v="0"/>
    <s v="Online "/>
    <s v=" Credit Card"/>
    <s v="Tom Jackson"/>
    <n v="2202.19"/>
  </r>
  <r>
    <x v="96"/>
    <x v="20"/>
    <x v="1"/>
    <n v="2.95"/>
    <n v="746"/>
    <n v="0.47"/>
    <x v="0"/>
    <x v="0"/>
    <s v="Online "/>
    <s v=" Credit Card"/>
    <s v="Tom Jackson"/>
    <n v="2200.7000000000003"/>
  </r>
  <r>
    <x v="97"/>
    <x v="20"/>
    <x v="2"/>
    <n v="4.99"/>
    <n v="201"/>
    <n v="2.25"/>
    <x v="0"/>
    <x v="0"/>
    <s v="Online "/>
    <s v=" Credit Card"/>
    <s v="Tom Jackson"/>
    <n v="1002.99"/>
  </r>
  <r>
    <x v="98"/>
    <x v="21"/>
    <x v="3"/>
    <n v="12.99"/>
    <n v="478"/>
    <n v="4.32"/>
    <x v="0"/>
    <x v="0"/>
    <s v="Online "/>
    <s v=" Credit Card"/>
    <s v="Tom Jackson"/>
    <n v="6209.22"/>
  </r>
  <r>
    <x v="99"/>
    <x v="21"/>
    <x v="4"/>
    <n v="9.9499999999999993"/>
    <n v="202"/>
    <n v="2.85"/>
    <x v="0"/>
    <x v="0"/>
    <s v="Online "/>
    <s v=" Credit Card"/>
    <s v="Tom Jackson"/>
    <n v="2009.8999999999999"/>
  </r>
  <r>
    <x v="100"/>
    <x v="21"/>
    <x v="0"/>
    <n v="3.49"/>
    <n v="631"/>
    <n v="0.88"/>
    <x v="0"/>
    <x v="0"/>
    <s v="Online "/>
    <s v=" Credit Card"/>
    <s v="Tom Jackson"/>
    <n v="2202.19"/>
  </r>
  <r>
    <x v="101"/>
    <x v="21"/>
    <x v="1"/>
    <n v="2.95"/>
    <n v="678"/>
    <n v="0.47"/>
    <x v="0"/>
    <x v="0"/>
    <s v="Online "/>
    <s v=" Credit Card"/>
    <s v="Tom Jackson"/>
    <n v="2000.1000000000001"/>
  </r>
  <r>
    <x v="102"/>
    <x v="21"/>
    <x v="2"/>
    <n v="4.99"/>
    <n v="201"/>
    <n v="2.25"/>
    <x v="0"/>
    <x v="0"/>
    <s v="Online "/>
    <s v=" Credit Card"/>
    <s v="Tom Jackson"/>
    <n v="1002.99"/>
  </r>
  <r>
    <x v="103"/>
    <x v="22"/>
    <x v="3"/>
    <n v="12.99"/>
    <n v="478"/>
    <n v="4.32"/>
    <x v="0"/>
    <x v="0"/>
    <s v="Online "/>
    <s v=" Credit Card"/>
    <s v="Tom Jackson"/>
    <n v="6209.22"/>
  </r>
  <r>
    <x v="104"/>
    <x v="22"/>
    <x v="4"/>
    <n v="9.9499999999999993"/>
    <n v="202"/>
    <n v="2.85"/>
    <x v="0"/>
    <x v="0"/>
    <s v="Online "/>
    <s v=" Credit Card"/>
    <s v="Tom Jackson"/>
    <n v="2009.8999999999999"/>
  </r>
  <r>
    <x v="105"/>
    <x v="22"/>
    <x v="0"/>
    <n v="3.49"/>
    <n v="631"/>
    <n v="0.88"/>
    <x v="0"/>
    <x v="0"/>
    <s v="Online "/>
    <s v=" Credit Card"/>
    <s v="Tom Jackson"/>
    <n v="2202.19"/>
  </r>
  <r>
    <x v="106"/>
    <x v="22"/>
    <x v="1"/>
    <n v="2.95"/>
    <n v="678"/>
    <n v="0.47"/>
    <x v="0"/>
    <x v="0"/>
    <s v="Online "/>
    <s v=" Credit Card"/>
    <s v="Tom Jackson"/>
    <n v="2000.1000000000001"/>
  </r>
  <r>
    <x v="107"/>
    <x v="22"/>
    <x v="2"/>
    <n v="4.99"/>
    <n v="201"/>
    <n v="2.25"/>
    <x v="0"/>
    <x v="0"/>
    <s v="Online "/>
    <s v=" Credit Card"/>
    <s v="Tom Jackson"/>
    <n v="1002.99"/>
  </r>
  <r>
    <x v="108"/>
    <x v="23"/>
    <x v="3"/>
    <n v="12.99"/>
    <n v="493"/>
    <n v="4.32"/>
    <x v="0"/>
    <x v="0"/>
    <s v="Online "/>
    <s v=" Credit Card"/>
    <s v="Tom Jackson"/>
    <n v="6404.07"/>
  </r>
  <r>
    <x v="109"/>
    <x v="23"/>
    <x v="4"/>
    <n v="9.9499999999999993"/>
    <n v="202"/>
    <n v="2.85"/>
    <x v="0"/>
    <x v="0"/>
    <s v="Online "/>
    <s v=" Credit Card"/>
    <s v="Tom Jackson"/>
    <n v="2009.8999999999999"/>
  </r>
  <r>
    <x v="110"/>
    <x v="23"/>
    <x v="0"/>
    <n v="3.49"/>
    <n v="631"/>
    <n v="0.88"/>
    <x v="0"/>
    <x v="0"/>
    <s v="Online "/>
    <s v=" Credit Card"/>
    <s v="Tom Jackson"/>
    <n v="2202.19"/>
  </r>
  <r>
    <x v="111"/>
    <x v="23"/>
    <x v="1"/>
    <n v="2.95"/>
    <n v="678"/>
    <n v="0.47"/>
    <x v="0"/>
    <x v="0"/>
    <s v="Online "/>
    <s v=" Credit Card"/>
    <s v="Tom Jackson"/>
    <n v="2000.1000000000001"/>
  </r>
  <r>
    <x v="112"/>
    <x v="23"/>
    <x v="2"/>
    <n v="4.99"/>
    <n v="201"/>
    <n v="2.25"/>
    <x v="0"/>
    <x v="0"/>
    <s v="Online "/>
    <s v=" Credit Card"/>
    <s v="Tom Jackson"/>
    <n v="1002.99"/>
  </r>
  <r>
    <x v="113"/>
    <x v="24"/>
    <x v="3"/>
    <n v="12.99"/>
    <n v="493"/>
    <n v="4.32"/>
    <x v="0"/>
    <x v="0"/>
    <s v="Online "/>
    <s v=" Credit Card"/>
    <s v="Tom Jackson"/>
    <n v="6404.07"/>
  </r>
  <r>
    <x v="114"/>
    <x v="24"/>
    <x v="4"/>
    <n v="9.9499999999999993"/>
    <n v="202"/>
    <n v="2.85"/>
    <x v="0"/>
    <x v="0"/>
    <s v="Online "/>
    <s v=" Credit Card"/>
    <s v="Tom Jackson"/>
    <n v="2009.8999999999999"/>
  </r>
  <r>
    <x v="115"/>
    <x v="24"/>
    <x v="0"/>
    <n v="3.49"/>
    <n v="574"/>
    <n v="0.88"/>
    <x v="4"/>
    <x v="4"/>
    <s v="Online "/>
    <s v=" Credit Card"/>
    <s v="Remy Monet"/>
    <n v="2003.2600000000002"/>
  </r>
  <r>
    <x v="116"/>
    <x v="24"/>
    <x v="1"/>
    <n v="2.95"/>
    <n v="678"/>
    <n v="0.47"/>
    <x v="4"/>
    <x v="4"/>
    <s v="Online "/>
    <s v=" Credit Card"/>
    <s v="Remy Monet"/>
    <n v="2000.1000000000001"/>
  </r>
  <r>
    <x v="117"/>
    <x v="24"/>
    <x v="2"/>
    <n v="4.99"/>
    <n v="201"/>
    <n v="2.25"/>
    <x v="4"/>
    <x v="4"/>
    <s v="Online "/>
    <s v=" Credit Card"/>
    <s v="Remy Monet"/>
    <n v="1002.99"/>
  </r>
  <r>
    <x v="118"/>
    <x v="25"/>
    <x v="3"/>
    <n v="12.99"/>
    <n v="524"/>
    <n v="4.32"/>
    <x v="4"/>
    <x v="4"/>
    <s v="Online "/>
    <s v=" Credit Card"/>
    <s v="Remy Monet"/>
    <n v="6806.76"/>
  </r>
  <r>
    <x v="119"/>
    <x v="25"/>
    <x v="4"/>
    <n v="9.9499999999999993"/>
    <n v="202"/>
    <n v="2.85"/>
    <x v="4"/>
    <x v="4"/>
    <s v="Online "/>
    <s v=" Credit Card"/>
    <s v="Remy Monet"/>
    <n v="2009.8999999999999"/>
  </r>
  <r>
    <x v="120"/>
    <x v="25"/>
    <x v="0"/>
    <n v="3.49"/>
    <n v="631"/>
    <n v="0.88"/>
    <x v="4"/>
    <x v="4"/>
    <s v="Online "/>
    <s v=" Credit Card"/>
    <s v="Remy Monet"/>
    <n v="2202.19"/>
  </r>
  <r>
    <x v="121"/>
    <x v="25"/>
    <x v="1"/>
    <n v="2.95"/>
    <n v="678"/>
    <n v="0.47"/>
    <x v="4"/>
    <x v="4"/>
    <s v="Online "/>
    <s v=" Credit Card"/>
    <s v="Remy Monet"/>
    <n v="2000.1000000000001"/>
  </r>
  <r>
    <x v="122"/>
    <x v="25"/>
    <x v="2"/>
    <n v="4.99"/>
    <n v="201"/>
    <n v="2.25"/>
    <x v="4"/>
    <x v="4"/>
    <s v="Online "/>
    <s v=" Credit Card"/>
    <s v="Remy Monet"/>
    <n v="1002.99"/>
  </r>
  <r>
    <x v="123"/>
    <x v="26"/>
    <x v="3"/>
    <n v="12.99"/>
    <n v="524"/>
    <n v="4.32"/>
    <x v="4"/>
    <x v="4"/>
    <s v="Online "/>
    <s v=" Credit Card"/>
    <s v="Remy Monet"/>
    <n v="6806.76"/>
  </r>
  <r>
    <x v="124"/>
    <x v="26"/>
    <x v="4"/>
    <n v="9.9499999999999993"/>
    <n v="202"/>
    <n v="2.85"/>
    <x v="4"/>
    <x v="4"/>
    <s v="Online "/>
    <s v=" Credit Card"/>
    <s v="Remy Monet"/>
    <n v="2009.8999999999999"/>
  </r>
  <r>
    <x v="125"/>
    <x v="26"/>
    <x v="0"/>
    <n v="3.49"/>
    <n v="631"/>
    <n v="0.88"/>
    <x v="0"/>
    <x v="0"/>
    <s v="Online "/>
    <s v=" Credit Card"/>
    <s v="Tom Jackson"/>
    <n v="2202.19"/>
  </r>
  <r>
    <x v="126"/>
    <x v="26"/>
    <x v="1"/>
    <n v="2.95"/>
    <n v="678"/>
    <n v="0.47"/>
    <x v="0"/>
    <x v="0"/>
    <s v="Online "/>
    <s v=" Credit Card"/>
    <s v="Tom Jackson"/>
    <n v="2000.1000000000001"/>
  </r>
  <r>
    <x v="127"/>
    <x v="26"/>
    <x v="2"/>
    <n v="4.99"/>
    <n v="201"/>
    <n v="2.25"/>
    <x v="0"/>
    <x v="0"/>
    <s v="Online "/>
    <s v=" Credit Card"/>
    <s v="Tom Jackson"/>
    <n v="1002.99"/>
  </r>
  <r>
    <x v="128"/>
    <x v="27"/>
    <x v="3"/>
    <n v="12.99"/>
    <n v="539"/>
    <n v="4.32"/>
    <x v="0"/>
    <x v="0"/>
    <s v="Online "/>
    <s v=" Credit Card"/>
    <s v="Tom Jackson"/>
    <n v="7001.61"/>
  </r>
  <r>
    <x v="129"/>
    <x v="27"/>
    <x v="4"/>
    <n v="9.9499999999999993"/>
    <n v="202"/>
    <n v="2.85"/>
    <x v="0"/>
    <x v="0"/>
    <s v="Online "/>
    <s v=" Credit Card"/>
    <s v="Tom Jackson"/>
    <n v="2009.8999999999999"/>
  </r>
  <r>
    <x v="130"/>
    <x v="28"/>
    <x v="3"/>
    <n v="12.99"/>
    <n v="555"/>
    <n v="4.32"/>
    <x v="0"/>
    <x v="0"/>
    <s v="Online "/>
    <s v=" Credit Card"/>
    <s v="Tom Jackson"/>
    <n v="7209.45"/>
  </r>
  <r>
    <x v="131"/>
    <x v="28"/>
    <x v="4"/>
    <n v="9.9499999999999993"/>
    <n v="202"/>
    <n v="2.85"/>
    <x v="0"/>
    <x v="0"/>
    <s v="Online "/>
    <s v=" Credit Card"/>
    <s v="Tom Jackson"/>
    <n v="2009.8999999999999"/>
  </r>
  <r>
    <x v="132"/>
    <x v="28"/>
    <x v="0"/>
    <n v="3.49"/>
    <n v="574"/>
    <n v="0.88"/>
    <x v="0"/>
    <x v="0"/>
    <s v="Online "/>
    <s v=" Credit Card"/>
    <s v="Tom Jackson"/>
    <n v="2003.2600000000002"/>
  </r>
  <r>
    <x v="133"/>
    <x v="28"/>
    <x v="1"/>
    <n v="2.95"/>
    <n v="678"/>
    <n v="0.47"/>
    <x v="0"/>
    <x v="0"/>
    <s v="Online "/>
    <s v=" Credit Card"/>
    <s v="Tom Jackson"/>
    <n v="2000.1000000000001"/>
  </r>
  <r>
    <x v="134"/>
    <x v="28"/>
    <x v="2"/>
    <n v="4.99"/>
    <n v="201"/>
    <n v="2.25"/>
    <x v="0"/>
    <x v="0"/>
    <s v="Online "/>
    <s v=" Credit Card"/>
    <s v="Tom Jackson"/>
    <n v="1002.99"/>
  </r>
  <r>
    <x v="135"/>
    <x v="29"/>
    <x v="3"/>
    <n v="12.99"/>
    <n v="539"/>
    <n v="4.32"/>
    <x v="0"/>
    <x v="0"/>
    <s v="Online "/>
    <s v=" Credit Card"/>
    <s v="Tom Jackson"/>
    <n v="7001.61"/>
  </r>
  <r>
    <x v="136"/>
    <x v="29"/>
    <x v="4"/>
    <n v="9.9499999999999993"/>
    <n v="202"/>
    <n v="2.85"/>
    <x v="0"/>
    <x v="0"/>
    <s v="Online "/>
    <s v=" Credit Card"/>
    <s v="Tom Jackson"/>
    <n v="2009.8999999999999"/>
  </r>
  <r>
    <x v="137"/>
    <x v="29"/>
    <x v="0"/>
    <n v="3.49"/>
    <n v="574"/>
    <n v="0.88"/>
    <x v="0"/>
    <x v="0"/>
    <s v="Online "/>
    <s v=" Credit Card"/>
    <s v="Tom Jackson"/>
    <n v="2003.2600000000002"/>
  </r>
  <r>
    <x v="138"/>
    <x v="29"/>
    <x v="1"/>
    <n v="2.95"/>
    <n v="678"/>
    <n v="0.47"/>
    <x v="0"/>
    <x v="0"/>
    <s v="Online "/>
    <s v=" Credit Card"/>
    <s v="Tom Jackson"/>
    <n v="2000.1000000000001"/>
  </r>
  <r>
    <x v="139"/>
    <x v="29"/>
    <x v="2"/>
    <n v="4.99"/>
    <n v="201"/>
    <n v="2.25"/>
    <x v="0"/>
    <x v="0"/>
    <s v="Online "/>
    <s v=" Credit Card"/>
    <s v="Tom Jackson"/>
    <n v="1002.99"/>
  </r>
  <r>
    <x v="140"/>
    <x v="30"/>
    <x v="3"/>
    <n v="12.99"/>
    <n v="524"/>
    <n v="4.32"/>
    <x v="0"/>
    <x v="0"/>
    <s v="Online "/>
    <s v=" Credit Card"/>
    <s v="Tom Jackson"/>
    <n v="6806.76"/>
  </r>
  <r>
    <x v="141"/>
    <x v="30"/>
    <x v="4"/>
    <n v="9.9499999999999993"/>
    <n v="202"/>
    <n v="2.85"/>
    <x v="0"/>
    <x v="0"/>
    <s v="Online "/>
    <s v=" Credit Card"/>
    <s v="Tom Jackson"/>
    <n v="2009.8999999999999"/>
  </r>
  <r>
    <x v="142"/>
    <x v="30"/>
    <x v="0"/>
    <n v="3.49"/>
    <n v="631"/>
    <n v="0.88"/>
    <x v="0"/>
    <x v="0"/>
    <s v="Online "/>
    <s v=" Cash"/>
    <s v="Tom Jackson"/>
    <n v="2202.19"/>
  </r>
  <r>
    <x v="143"/>
    <x v="30"/>
    <x v="1"/>
    <n v="2.95"/>
    <n v="678"/>
    <n v="0.47"/>
    <x v="0"/>
    <x v="0"/>
    <s v="Online "/>
    <s v=" Cash"/>
    <s v="Tom Jackson"/>
    <n v="2000.1000000000001"/>
  </r>
  <r>
    <x v="144"/>
    <x v="30"/>
    <x v="2"/>
    <n v="4.99"/>
    <n v="201"/>
    <n v="2.25"/>
    <x v="0"/>
    <x v="0"/>
    <s v="Online "/>
    <s v=" Cash"/>
    <s v="Tom Jackson"/>
    <n v="1002.99"/>
  </r>
  <r>
    <x v="145"/>
    <x v="31"/>
    <x v="3"/>
    <n v="12.99"/>
    <n v="539"/>
    <n v="4.32"/>
    <x v="0"/>
    <x v="0"/>
    <s v="Online "/>
    <s v=" Cash"/>
    <s v="Tom Jackson"/>
    <n v="7001.61"/>
  </r>
  <r>
    <x v="146"/>
    <x v="31"/>
    <x v="4"/>
    <n v="9.9499999999999993"/>
    <n v="202"/>
    <n v="2.85"/>
    <x v="0"/>
    <x v="0"/>
    <s v="Online "/>
    <s v=" Cash"/>
    <s v="Tom Jackson"/>
    <n v="2009.8999999999999"/>
  </r>
  <r>
    <x v="147"/>
    <x v="31"/>
    <x v="0"/>
    <n v="3.49"/>
    <n v="631"/>
    <n v="0.88"/>
    <x v="0"/>
    <x v="0"/>
    <s v="Online "/>
    <s v=" Cash"/>
    <s v="Tom Jackson"/>
    <n v="2202.19"/>
  </r>
  <r>
    <x v="148"/>
    <x v="31"/>
    <x v="1"/>
    <n v="2.95"/>
    <n v="678"/>
    <n v="0.47"/>
    <x v="0"/>
    <x v="0"/>
    <s v="Online "/>
    <s v=" Gift Card"/>
    <s v="Tom Jackson"/>
    <n v="2000.1000000000001"/>
  </r>
  <r>
    <x v="149"/>
    <x v="31"/>
    <x v="2"/>
    <n v="4.99"/>
    <n v="201"/>
    <n v="2.25"/>
    <x v="0"/>
    <x v="0"/>
    <s v="Online "/>
    <s v=" Gift Card"/>
    <s v="Tom Jackson"/>
    <n v="1002.99"/>
  </r>
  <r>
    <x v="150"/>
    <x v="32"/>
    <x v="3"/>
    <n v="12.99"/>
    <n v="570"/>
    <n v="4.32"/>
    <x v="0"/>
    <x v="0"/>
    <s v="Online "/>
    <s v=" Gift Card"/>
    <s v="Tom Jackson"/>
    <n v="7404.3"/>
  </r>
  <r>
    <x v="151"/>
    <x v="32"/>
    <x v="4"/>
    <n v="9.9499999999999993"/>
    <n v="202"/>
    <n v="2.85"/>
    <x v="0"/>
    <x v="0"/>
    <s v="Online "/>
    <s v=" Gift Card"/>
    <s v="Tom Jackson"/>
    <n v="2009.8999999999999"/>
  </r>
  <r>
    <x v="152"/>
    <x v="32"/>
    <x v="0"/>
    <n v="3.49"/>
    <n v="631"/>
    <n v="0.88"/>
    <x v="0"/>
    <x v="0"/>
    <s v="Online "/>
    <s v=" Gift Card"/>
    <s v="Tom Jackson"/>
    <n v="2202.19"/>
  </r>
  <r>
    <x v="153"/>
    <x v="32"/>
    <x v="1"/>
    <n v="2.95"/>
    <n v="678"/>
    <n v="0.47"/>
    <x v="0"/>
    <x v="0"/>
    <s v="Online "/>
    <s v=" Gift Card"/>
    <s v="Tom Jackson"/>
    <n v="2000.1000000000001"/>
  </r>
  <r>
    <x v="154"/>
    <x v="32"/>
    <x v="2"/>
    <n v="4.99"/>
    <n v="201"/>
    <n v="2.25"/>
    <x v="0"/>
    <x v="0"/>
    <s v="Online "/>
    <s v=" Gift Card"/>
    <s v="Tom Jackson"/>
    <n v="1002.99"/>
  </r>
  <r>
    <x v="155"/>
    <x v="33"/>
    <x v="3"/>
    <n v="12.99"/>
    <n v="570"/>
    <n v="4.32"/>
    <x v="0"/>
    <x v="0"/>
    <s v="Online "/>
    <s v=" Gift Card"/>
    <s v="Tom Jackson"/>
    <n v="7404.3"/>
  </r>
  <r>
    <x v="156"/>
    <x v="33"/>
    <x v="4"/>
    <n v="9.9499999999999993"/>
    <n v="202"/>
    <n v="2.85"/>
    <x v="0"/>
    <x v="0"/>
    <s v="Online "/>
    <s v=" Gift Card"/>
    <s v="Tom Jackson"/>
    <n v="2009.8999999999999"/>
  </r>
  <r>
    <x v="157"/>
    <x v="33"/>
    <x v="0"/>
    <n v="3.49"/>
    <n v="631"/>
    <n v="0.88"/>
    <x v="0"/>
    <x v="0"/>
    <s v="Online "/>
    <s v=" Gift Card"/>
    <s v="Tom Jackson"/>
    <n v="2202.19"/>
  </r>
  <r>
    <x v="158"/>
    <x v="33"/>
    <x v="1"/>
    <n v="2.95"/>
    <n v="678"/>
    <n v="0.47"/>
    <x v="0"/>
    <x v="0"/>
    <s v="Online "/>
    <s v=" Gift Card"/>
    <s v="Tom Jackson"/>
    <n v="2000.1000000000001"/>
  </r>
  <r>
    <x v="159"/>
    <x v="33"/>
    <x v="2"/>
    <n v="4.99"/>
    <n v="201"/>
    <n v="2.25"/>
    <x v="0"/>
    <x v="0"/>
    <s v="Online "/>
    <s v=" Gift Card"/>
    <s v="Tom Jackson"/>
    <n v="1002.99"/>
  </r>
  <r>
    <x v="160"/>
    <x v="34"/>
    <x v="3"/>
    <n v="12.99"/>
    <n v="586"/>
    <n v="4.32"/>
    <x v="0"/>
    <x v="0"/>
    <s v="Online "/>
    <s v=" Gift Card"/>
    <s v="Tom Jackson"/>
    <n v="7612.14"/>
  </r>
  <r>
    <x v="161"/>
    <x v="34"/>
    <x v="4"/>
    <n v="9.9499999999999993"/>
    <n v="202"/>
    <n v="2.85"/>
    <x v="0"/>
    <x v="0"/>
    <s v="Online "/>
    <s v=" Gift Card"/>
    <s v="Tom Jackson"/>
    <n v="2009.8999999999999"/>
  </r>
  <r>
    <x v="162"/>
    <x v="34"/>
    <x v="0"/>
    <n v="3.49"/>
    <n v="631"/>
    <n v="0.88"/>
    <x v="0"/>
    <x v="0"/>
    <s v="Online "/>
    <s v=" Gift Card"/>
    <s v="Tom Jackson"/>
    <n v="2202.19"/>
  </r>
  <r>
    <x v="163"/>
    <x v="34"/>
    <x v="1"/>
    <n v="2.95"/>
    <n v="746"/>
    <n v="0.47"/>
    <x v="0"/>
    <x v="0"/>
    <s v="Online "/>
    <s v=" Gift Card"/>
    <s v="Tom Jackson"/>
    <n v="2200.7000000000003"/>
  </r>
  <r>
    <x v="164"/>
    <x v="34"/>
    <x v="2"/>
    <n v="4.99"/>
    <n v="201"/>
    <n v="2.25"/>
    <x v="0"/>
    <x v="0"/>
    <s v="Online "/>
    <s v=" Gift Card"/>
    <s v="Tom Jackson"/>
    <n v="1002.99"/>
  </r>
  <r>
    <x v="165"/>
    <x v="35"/>
    <x v="3"/>
    <n v="12.99"/>
    <n v="570"/>
    <n v="4.32"/>
    <x v="0"/>
    <x v="0"/>
    <s v="Online "/>
    <s v=" Gift Card"/>
    <s v="Tom Jackson"/>
    <n v="7404.3"/>
  </r>
  <r>
    <x v="166"/>
    <x v="35"/>
    <x v="4"/>
    <n v="9.9499999999999993"/>
    <n v="202"/>
    <n v="2.85"/>
    <x v="0"/>
    <x v="0"/>
    <s v="Online "/>
    <s v=" Gift Card"/>
    <s v="Tom Jackson"/>
    <n v="2009.8999999999999"/>
  </r>
  <r>
    <x v="167"/>
    <x v="35"/>
    <x v="0"/>
    <n v="3.49"/>
    <n v="631"/>
    <n v="0.88"/>
    <x v="0"/>
    <x v="0"/>
    <s v="Online "/>
    <s v=" Gift Card"/>
    <s v="Tom Jackson"/>
    <n v="2202.19"/>
  </r>
  <r>
    <x v="168"/>
    <x v="35"/>
    <x v="1"/>
    <n v="2.95"/>
    <n v="678"/>
    <n v="0.47"/>
    <x v="2"/>
    <x v="2"/>
    <s v="Online "/>
    <s v=" Gift Card"/>
    <s v="Joao Silva"/>
    <n v="2000.1000000000001"/>
  </r>
  <r>
    <x v="169"/>
    <x v="35"/>
    <x v="2"/>
    <n v="4.99"/>
    <n v="201"/>
    <n v="2.25"/>
    <x v="2"/>
    <x v="2"/>
    <s v="Online "/>
    <s v=" Gift Card"/>
    <s v="Joao Silva"/>
    <n v="1002.99"/>
  </r>
  <r>
    <x v="170"/>
    <x v="36"/>
    <x v="3"/>
    <n v="12.99"/>
    <n v="570"/>
    <n v="4.32"/>
    <x v="2"/>
    <x v="2"/>
    <s v="Online "/>
    <s v=" Cash"/>
    <s v="Joao Silva"/>
    <n v="7404.3"/>
  </r>
  <r>
    <x v="171"/>
    <x v="36"/>
    <x v="4"/>
    <n v="9.9499999999999993"/>
    <n v="202"/>
    <n v="2.85"/>
    <x v="2"/>
    <x v="2"/>
    <s v="Online "/>
    <s v=" Gift Card"/>
    <s v="Joao Silva"/>
    <n v="2009.8999999999999"/>
  </r>
  <r>
    <x v="172"/>
    <x v="36"/>
    <x v="0"/>
    <n v="3.49"/>
    <n v="631"/>
    <n v="0.88"/>
    <x v="2"/>
    <x v="2"/>
    <s v="Online "/>
    <s v=" Gift Card"/>
    <s v="Joao Silva"/>
    <n v="2202.19"/>
  </r>
  <r>
    <x v="173"/>
    <x v="36"/>
    <x v="1"/>
    <n v="2.95"/>
    <n v="678"/>
    <n v="0.47"/>
    <x v="2"/>
    <x v="2"/>
    <s v="Online "/>
    <s v=" Gift Card"/>
    <s v="Joao Silva"/>
    <n v="2000.1000000000001"/>
  </r>
  <r>
    <x v="174"/>
    <x v="36"/>
    <x v="2"/>
    <n v="4.99"/>
    <n v="201"/>
    <n v="2.25"/>
    <x v="2"/>
    <x v="2"/>
    <s v="Online "/>
    <s v=" Gift Card"/>
    <s v="Joao Silva"/>
    <n v="1002.99"/>
  </r>
  <r>
    <x v="175"/>
    <x v="37"/>
    <x v="3"/>
    <n v="12.99"/>
    <n v="555"/>
    <n v="4.32"/>
    <x v="2"/>
    <x v="2"/>
    <s v="Online "/>
    <s v=" Gift Card"/>
    <s v="Joao Silva"/>
    <n v="7209.45"/>
  </r>
  <r>
    <x v="176"/>
    <x v="37"/>
    <x v="4"/>
    <n v="9.9499999999999993"/>
    <n v="222"/>
    <n v="2.85"/>
    <x v="2"/>
    <x v="2"/>
    <s v="Online "/>
    <s v=" Gift Card"/>
    <s v="Joao Silva"/>
    <n v="2208.8999999999996"/>
  </r>
  <r>
    <x v="177"/>
    <x v="37"/>
    <x v="0"/>
    <n v="3.49"/>
    <n v="631"/>
    <n v="0.88"/>
    <x v="2"/>
    <x v="2"/>
    <s v="Online "/>
    <s v=" Gift Card"/>
    <s v="Joao Silva"/>
    <n v="2202.19"/>
  </r>
  <r>
    <x v="178"/>
    <x v="37"/>
    <x v="1"/>
    <n v="2.95"/>
    <n v="678"/>
    <n v="0.47"/>
    <x v="2"/>
    <x v="2"/>
    <s v="Online "/>
    <s v=" Gift Card"/>
    <s v="Joao Silva"/>
    <n v="2000.1000000000001"/>
  </r>
  <r>
    <x v="179"/>
    <x v="37"/>
    <x v="2"/>
    <n v="4.99"/>
    <n v="201"/>
    <n v="2.25"/>
    <x v="2"/>
    <x v="2"/>
    <s v="Online "/>
    <s v=" Gift Card"/>
    <s v="Joao Silva"/>
    <n v="1002.99"/>
  </r>
  <r>
    <x v="180"/>
    <x v="38"/>
    <x v="3"/>
    <n v="12.99"/>
    <n v="539"/>
    <n v="4.32"/>
    <x v="2"/>
    <x v="2"/>
    <s v="Online "/>
    <s v=" Gift Card"/>
    <s v="Joao Silva"/>
    <n v="7001.61"/>
  </r>
  <r>
    <x v="181"/>
    <x v="38"/>
    <x v="4"/>
    <n v="9.9499999999999993"/>
    <n v="222"/>
    <n v="2.85"/>
    <x v="2"/>
    <x v="2"/>
    <s v="Online "/>
    <s v=" Gift Card"/>
    <s v="Joao Silva"/>
    <n v="2208.8999999999996"/>
  </r>
  <r>
    <x v="182"/>
    <x v="38"/>
    <x v="0"/>
    <n v="3.49"/>
    <n v="631"/>
    <n v="0.88"/>
    <x v="2"/>
    <x v="2"/>
    <s v="Online "/>
    <s v=" Cash"/>
    <s v="Joao Silva"/>
    <n v="2202.19"/>
  </r>
  <r>
    <x v="183"/>
    <x v="38"/>
    <x v="1"/>
    <n v="2.95"/>
    <n v="678"/>
    <n v="0.47"/>
    <x v="2"/>
    <x v="2"/>
    <s v="Online "/>
    <s v=" Cash"/>
    <s v="Joao Silva"/>
    <n v="2000.1000000000001"/>
  </r>
  <r>
    <x v="184"/>
    <x v="38"/>
    <x v="2"/>
    <n v="4.99"/>
    <n v="201"/>
    <n v="2.25"/>
    <x v="2"/>
    <x v="2"/>
    <s v="Online "/>
    <s v=" Cash"/>
    <s v="Joao Silva"/>
    <n v="1002.99"/>
  </r>
  <r>
    <x v="185"/>
    <x v="39"/>
    <x v="3"/>
    <n v="12.99"/>
    <n v="570"/>
    <n v="4.32"/>
    <x v="2"/>
    <x v="2"/>
    <s v="Online "/>
    <s v=" Cash"/>
    <s v="Joao Silva"/>
    <n v="7404.3"/>
  </r>
  <r>
    <x v="186"/>
    <x v="39"/>
    <x v="4"/>
    <n v="9.9499999999999993"/>
    <n v="222"/>
    <n v="2.85"/>
    <x v="2"/>
    <x v="2"/>
    <s v="Online "/>
    <s v=" Cash"/>
    <s v="Joao Silva"/>
    <n v="2208.8999999999996"/>
  </r>
  <r>
    <x v="187"/>
    <x v="39"/>
    <x v="0"/>
    <n v="3.49"/>
    <n v="631"/>
    <n v="0.88"/>
    <x v="2"/>
    <x v="2"/>
    <s v="Online "/>
    <s v=" Gift Card"/>
    <s v="Joao Silva"/>
    <n v="2202.19"/>
  </r>
  <r>
    <x v="188"/>
    <x v="39"/>
    <x v="1"/>
    <n v="2.95"/>
    <n v="746"/>
    <n v="0.47"/>
    <x v="2"/>
    <x v="2"/>
    <s v="Online "/>
    <s v=" Gift Card"/>
    <s v="Joao Silva"/>
    <n v="2200.7000000000003"/>
  </r>
  <r>
    <x v="189"/>
    <x v="39"/>
    <x v="2"/>
    <n v="4.99"/>
    <n v="201"/>
    <n v="2.25"/>
    <x v="2"/>
    <x v="2"/>
    <s v="Online "/>
    <s v=" Gift Card"/>
    <s v="Joao Silva"/>
    <n v="1002.99"/>
  </r>
  <r>
    <x v="190"/>
    <x v="40"/>
    <x v="3"/>
    <n v="12.99"/>
    <n v="586"/>
    <n v="4.32"/>
    <x v="2"/>
    <x v="2"/>
    <s v="Online "/>
    <s v=" Gift Card"/>
    <s v="Joao Silva"/>
    <n v="7612.14"/>
  </r>
  <r>
    <x v="191"/>
    <x v="40"/>
    <x v="4"/>
    <n v="9.9499999999999993"/>
    <n v="222"/>
    <n v="2.85"/>
    <x v="2"/>
    <x v="2"/>
    <s v="Online "/>
    <s v=" Gift Card"/>
    <s v="Joao Silva"/>
    <n v="2208.8999999999996"/>
  </r>
  <r>
    <x v="192"/>
    <x v="40"/>
    <x v="0"/>
    <n v="3.49"/>
    <n v="688"/>
    <n v="0.88"/>
    <x v="2"/>
    <x v="2"/>
    <s v="Online "/>
    <s v=" Gift Card"/>
    <s v="Joao Silva"/>
    <n v="2401.1200000000003"/>
  </r>
  <r>
    <x v="193"/>
    <x v="40"/>
    <x v="1"/>
    <n v="2.95"/>
    <n v="746"/>
    <n v="0.47"/>
    <x v="2"/>
    <x v="2"/>
    <s v="Online "/>
    <s v=" Gift Card"/>
    <s v="Joao Silva"/>
    <n v="2200.7000000000003"/>
  </r>
  <r>
    <x v="194"/>
    <x v="40"/>
    <x v="2"/>
    <n v="4.99"/>
    <n v="201"/>
    <n v="2.25"/>
    <x v="2"/>
    <x v="2"/>
    <s v="Online "/>
    <s v=" Gift Card"/>
    <s v="Joao Silva"/>
    <n v="1002.99"/>
  </r>
  <r>
    <x v="195"/>
    <x v="41"/>
    <x v="3"/>
    <n v="12.99"/>
    <n v="601"/>
    <n v="4.32"/>
    <x v="2"/>
    <x v="2"/>
    <s v="Online "/>
    <s v=" Gift Card"/>
    <s v="Joao Silva"/>
    <n v="7806.99"/>
  </r>
  <r>
    <x v="196"/>
    <x v="41"/>
    <x v="4"/>
    <n v="9.9499999999999993"/>
    <n v="222"/>
    <n v="2.85"/>
    <x v="2"/>
    <x v="2"/>
    <s v="Online "/>
    <s v=" Gift Card"/>
    <s v="Joao Silva"/>
    <n v="2208.8999999999996"/>
  </r>
  <r>
    <x v="197"/>
    <x v="41"/>
    <x v="0"/>
    <n v="3.49"/>
    <n v="688"/>
    <n v="0.88"/>
    <x v="2"/>
    <x v="2"/>
    <s v="Online "/>
    <s v=" Gift Card"/>
    <s v="Joao Silva"/>
    <n v="2401.1200000000003"/>
  </r>
  <r>
    <x v="198"/>
    <x v="41"/>
    <x v="1"/>
    <n v="2.95"/>
    <n v="746"/>
    <n v="0.47"/>
    <x v="2"/>
    <x v="2"/>
    <s v="Online "/>
    <s v=" Cash"/>
    <s v="Joao Silva"/>
    <n v="2200.7000000000003"/>
  </r>
  <r>
    <x v="199"/>
    <x v="41"/>
    <x v="2"/>
    <n v="4.99"/>
    <n v="201"/>
    <n v="2.25"/>
    <x v="2"/>
    <x v="2"/>
    <s v="Online "/>
    <s v=" Cash"/>
    <s v="Joao Silva"/>
    <n v="1002.99"/>
  </r>
  <r>
    <x v="200"/>
    <x v="42"/>
    <x v="3"/>
    <n v="12.99"/>
    <n v="632"/>
    <n v="4.32"/>
    <x v="2"/>
    <x v="2"/>
    <s v="In-store "/>
    <s v=" Cash"/>
    <s v="Joao Silva"/>
    <n v="8209.68"/>
  </r>
  <r>
    <x v="201"/>
    <x v="42"/>
    <x v="4"/>
    <n v="9.9499999999999993"/>
    <n v="222"/>
    <n v="2.85"/>
    <x v="2"/>
    <x v="2"/>
    <s v="In-store "/>
    <s v=" Cash"/>
    <s v="Joao Silva"/>
    <n v="2208.8999999999996"/>
  </r>
  <r>
    <x v="202"/>
    <x v="42"/>
    <x v="0"/>
    <n v="3.49"/>
    <n v="631"/>
    <n v="0.88"/>
    <x v="2"/>
    <x v="2"/>
    <s v="In-store "/>
    <s v=" Cash"/>
    <s v="Joao Silva"/>
    <n v="2202.19"/>
  </r>
  <r>
    <x v="203"/>
    <x v="42"/>
    <x v="1"/>
    <n v="2.95"/>
    <n v="746"/>
    <n v="0.47"/>
    <x v="2"/>
    <x v="2"/>
    <s v="In-store "/>
    <s v=" Cash"/>
    <s v="Joao Silva"/>
    <n v="2200.7000000000003"/>
  </r>
  <r>
    <x v="204"/>
    <x v="42"/>
    <x v="2"/>
    <n v="4.99"/>
    <n v="201"/>
    <n v="2.25"/>
    <x v="2"/>
    <x v="2"/>
    <s v="In-store "/>
    <s v=" Cash"/>
    <s v="Joao Silva"/>
    <n v="1002.99"/>
  </r>
  <r>
    <x v="205"/>
    <x v="43"/>
    <x v="3"/>
    <n v="12.99"/>
    <n v="647"/>
    <n v="4.32"/>
    <x v="2"/>
    <x v="2"/>
    <s v="In-store "/>
    <s v=" Cash"/>
    <s v="Joao Silva"/>
    <n v="8404.5300000000007"/>
  </r>
  <r>
    <x v="206"/>
    <x v="43"/>
    <x v="4"/>
    <n v="9.9499999999999993"/>
    <n v="222"/>
    <n v="2.85"/>
    <x v="2"/>
    <x v="2"/>
    <s v="In-store "/>
    <s v=" Cash"/>
    <s v="Joao Silva"/>
    <n v="2208.8999999999996"/>
  </r>
  <r>
    <x v="207"/>
    <x v="43"/>
    <x v="0"/>
    <n v="3.49"/>
    <n v="631"/>
    <n v="0.88"/>
    <x v="2"/>
    <x v="2"/>
    <s v="In-store "/>
    <s v=" Cash"/>
    <s v="Joao Silva"/>
    <n v="2202.19"/>
  </r>
  <r>
    <x v="208"/>
    <x v="43"/>
    <x v="1"/>
    <n v="2.95"/>
    <n v="746"/>
    <n v="0.47"/>
    <x v="2"/>
    <x v="2"/>
    <s v="In-store "/>
    <s v=" Cash"/>
    <s v="Joao Silva"/>
    <n v="2200.7000000000003"/>
  </r>
  <r>
    <x v="209"/>
    <x v="43"/>
    <x v="2"/>
    <n v="4.99"/>
    <n v="201"/>
    <n v="2.25"/>
    <x v="2"/>
    <x v="2"/>
    <s v="In-store "/>
    <s v=" Cash"/>
    <s v="Joao Silva"/>
    <n v="1002.99"/>
  </r>
  <r>
    <x v="210"/>
    <x v="44"/>
    <x v="3"/>
    <n v="12.99"/>
    <n v="678"/>
    <n v="4.32"/>
    <x v="2"/>
    <x v="2"/>
    <s v="In-store "/>
    <s v=" Cash"/>
    <s v="Joao Silva"/>
    <n v="8807.2199999999993"/>
  </r>
  <r>
    <x v="211"/>
    <x v="44"/>
    <x v="4"/>
    <n v="9.9499999999999993"/>
    <n v="222"/>
    <n v="2.85"/>
    <x v="2"/>
    <x v="2"/>
    <s v="In-store "/>
    <s v=" Cash"/>
    <s v="Joao Silva"/>
    <n v="2208.8999999999996"/>
  </r>
  <r>
    <x v="212"/>
    <x v="44"/>
    <x v="0"/>
    <n v="3.49"/>
    <n v="631"/>
    <n v="0.88"/>
    <x v="2"/>
    <x v="2"/>
    <s v="In-store "/>
    <s v=" Cash"/>
    <s v="Joao Silva"/>
    <n v="2202.19"/>
  </r>
  <r>
    <x v="213"/>
    <x v="44"/>
    <x v="1"/>
    <n v="2.95"/>
    <n v="746"/>
    <n v="0.47"/>
    <x v="2"/>
    <x v="2"/>
    <s v="In-store "/>
    <s v=" Cash"/>
    <s v="Joao Silva"/>
    <n v="2200.7000000000003"/>
  </r>
  <r>
    <x v="214"/>
    <x v="44"/>
    <x v="2"/>
    <n v="4.99"/>
    <n v="201"/>
    <n v="2.25"/>
    <x v="2"/>
    <x v="2"/>
    <s v="In-store "/>
    <s v=" Cash"/>
    <s v="Joao Silva"/>
    <n v="1002.99"/>
  </r>
  <r>
    <x v="215"/>
    <x v="45"/>
    <x v="3"/>
    <n v="12.99"/>
    <n v="678"/>
    <n v="4.32"/>
    <x v="2"/>
    <x v="2"/>
    <s v="In-store "/>
    <s v=" Cash"/>
    <s v="Joao Silva"/>
    <n v="8807.2199999999993"/>
  </r>
  <r>
    <x v="216"/>
    <x v="45"/>
    <x v="4"/>
    <n v="9.9499999999999993"/>
    <n v="242"/>
    <n v="2.85"/>
    <x v="2"/>
    <x v="2"/>
    <s v="In-store "/>
    <s v=" Cash"/>
    <s v="Joao Silva"/>
    <n v="2407.8999999999996"/>
  </r>
  <r>
    <x v="217"/>
    <x v="45"/>
    <x v="0"/>
    <n v="3.49"/>
    <n v="631"/>
    <n v="0.88"/>
    <x v="2"/>
    <x v="2"/>
    <s v="In-store "/>
    <s v=" Cash"/>
    <s v="Joao Silva"/>
    <n v="2202.19"/>
  </r>
  <r>
    <x v="218"/>
    <x v="45"/>
    <x v="1"/>
    <n v="2.95"/>
    <n v="746"/>
    <n v="0.47"/>
    <x v="2"/>
    <x v="2"/>
    <s v="In-store "/>
    <s v=" Cash"/>
    <s v="Joao Silva"/>
    <n v="2200.7000000000003"/>
  </r>
  <r>
    <x v="219"/>
    <x v="45"/>
    <x v="2"/>
    <n v="4.99"/>
    <n v="201"/>
    <n v="2.25"/>
    <x v="2"/>
    <x v="2"/>
    <s v="In-store "/>
    <s v=" Cash"/>
    <s v="Joao Silva"/>
    <n v="1002.99"/>
  </r>
  <r>
    <x v="220"/>
    <x v="46"/>
    <x v="3"/>
    <n v="12.99"/>
    <n v="647"/>
    <n v="4.32"/>
    <x v="2"/>
    <x v="2"/>
    <s v="In-store "/>
    <s v=" Cash"/>
    <s v="Joao Silva"/>
    <n v="8404.5300000000007"/>
  </r>
  <r>
    <x v="221"/>
    <x v="46"/>
    <x v="4"/>
    <n v="9.9499999999999993"/>
    <n v="242"/>
    <n v="2.85"/>
    <x v="2"/>
    <x v="2"/>
    <s v="In-store "/>
    <s v=" Cash"/>
    <s v="Joao Silva"/>
    <n v="2407.8999999999996"/>
  </r>
  <r>
    <x v="222"/>
    <x v="46"/>
    <x v="0"/>
    <n v="3.49"/>
    <n v="631"/>
    <n v="0.88"/>
    <x v="2"/>
    <x v="2"/>
    <s v="In-store "/>
    <s v=" Cash"/>
    <s v="Joao Silva"/>
    <n v="2202.19"/>
  </r>
  <r>
    <x v="223"/>
    <x v="46"/>
    <x v="1"/>
    <n v="2.95"/>
    <n v="678"/>
    <n v="0.47"/>
    <x v="2"/>
    <x v="2"/>
    <s v="In-store "/>
    <s v=" Cash"/>
    <s v="Joao Silva"/>
    <n v="2000.1000000000001"/>
  </r>
  <r>
    <x v="224"/>
    <x v="46"/>
    <x v="2"/>
    <n v="4.99"/>
    <n v="201"/>
    <n v="2.25"/>
    <x v="2"/>
    <x v="2"/>
    <s v="In-store "/>
    <s v=" Cash"/>
    <s v="Joao Silva"/>
    <n v="1002.99"/>
  </r>
  <r>
    <x v="225"/>
    <x v="47"/>
    <x v="3"/>
    <n v="12.99"/>
    <n v="678"/>
    <n v="4.32"/>
    <x v="2"/>
    <x v="2"/>
    <s v="In-store "/>
    <s v=" Cash"/>
    <s v="Joao Silva"/>
    <n v="8807.2199999999993"/>
  </r>
  <r>
    <x v="226"/>
    <x v="47"/>
    <x v="4"/>
    <n v="9.9499999999999993"/>
    <n v="242"/>
    <n v="2.85"/>
    <x v="2"/>
    <x v="2"/>
    <s v="In-store "/>
    <s v=" Cash"/>
    <s v="Joao Silva"/>
    <n v="2407.8999999999996"/>
  </r>
  <r>
    <x v="227"/>
    <x v="47"/>
    <x v="0"/>
    <n v="3.49"/>
    <n v="631"/>
    <n v="0.88"/>
    <x v="3"/>
    <x v="3"/>
    <s v="In-store "/>
    <s v=" Cash"/>
    <s v="Walter Muller"/>
    <n v="2202.19"/>
  </r>
  <r>
    <x v="228"/>
    <x v="47"/>
    <x v="1"/>
    <n v="2.95"/>
    <n v="678"/>
    <n v="0.47"/>
    <x v="3"/>
    <x v="3"/>
    <s v="In-store "/>
    <s v=" Cash"/>
    <s v="Walter Muller"/>
    <n v="2000.1000000000001"/>
  </r>
  <r>
    <x v="229"/>
    <x v="47"/>
    <x v="2"/>
    <n v="4.99"/>
    <n v="201"/>
    <n v="2.25"/>
    <x v="3"/>
    <x v="3"/>
    <s v="In-store "/>
    <s v=" Cash"/>
    <s v="Walter Muller"/>
    <n v="1002.99"/>
  </r>
  <r>
    <x v="230"/>
    <x v="48"/>
    <x v="3"/>
    <n v="12.99"/>
    <n v="678"/>
    <n v="4.32"/>
    <x v="3"/>
    <x v="3"/>
    <s v="In-store "/>
    <s v=" Cash"/>
    <s v="Walter Muller"/>
    <n v="8807.2199999999993"/>
  </r>
  <r>
    <x v="231"/>
    <x v="48"/>
    <x v="4"/>
    <n v="9.9499999999999993"/>
    <n v="262"/>
    <n v="2.85"/>
    <x v="3"/>
    <x v="3"/>
    <s v="In-store "/>
    <s v=" Cash"/>
    <s v="Walter Muller"/>
    <n v="2606.8999999999996"/>
  </r>
  <r>
    <x v="232"/>
    <x v="48"/>
    <x v="0"/>
    <n v="3.49"/>
    <n v="631"/>
    <n v="0.88"/>
    <x v="3"/>
    <x v="3"/>
    <s v="In-store "/>
    <s v=" Cash"/>
    <s v="Walter Muller"/>
    <n v="2202.19"/>
  </r>
  <r>
    <x v="233"/>
    <x v="48"/>
    <x v="1"/>
    <n v="2.95"/>
    <n v="678"/>
    <n v="0.47"/>
    <x v="3"/>
    <x v="3"/>
    <s v="In-store "/>
    <s v=" Cash"/>
    <s v="Walter Muller"/>
    <n v="2000.1000000000001"/>
  </r>
  <r>
    <x v="234"/>
    <x v="48"/>
    <x v="2"/>
    <n v="4.99"/>
    <n v="201"/>
    <n v="2.25"/>
    <x v="3"/>
    <x v="3"/>
    <s v="In-store "/>
    <s v=" Cash"/>
    <s v="Walter Muller"/>
    <n v="1002.99"/>
  </r>
  <r>
    <x v="235"/>
    <x v="49"/>
    <x v="3"/>
    <n v="12.99"/>
    <n v="693"/>
    <n v="4.32"/>
    <x v="3"/>
    <x v="3"/>
    <s v="In-store "/>
    <s v=" Cash"/>
    <s v="Walter Muller"/>
    <n v="9002.07"/>
  </r>
  <r>
    <x v="236"/>
    <x v="49"/>
    <x v="4"/>
    <n v="9.9499999999999993"/>
    <n v="282"/>
    <n v="2.85"/>
    <x v="3"/>
    <x v="3"/>
    <s v="In-store "/>
    <s v=" Cash"/>
    <s v="Walter Muller"/>
    <n v="2805.8999999999996"/>
  </r>
  <r>
    <x v="237"/>
    <x v="49"/>
    <x v="0"/>
    <n v="3.49"/>
    <n v="631"/>
    <n v="0.88"/>
    <x v="3"/>
    <x v="3"/>
    <s v="In-store "/>
    <s v=" Cash"/>
    <s v="Walter Muller"/>
    <n v="2202.19"/>
  </r>
  <r>
    <x v="238"/>
    <x v="49"/>
    <x v="1"/>
    <n v="2.95"/>
    <n v="678"/>
    <n v="0.47"/>
    <x v="3"/>
    <x v="3"/>
    <s v="In-store "/>
    <s v=" Cash"/>
    <s v="Walter Muller"/>
    <n v="2000.1000000000001"/>
  </r>
  <r>
    <x v="239"/>
    <x v="49"/>
    <x v="2"/>
    <n v="4.99"/>
    <n v="201"/>
    <n v="2.25"/>
    <x v="3"/>
    <x v="3"/>
    <s v="In-store "/>
    <s v=" Cash"/>
    <s v="Walter Muller"/>
    <n v="1002.99"/>
  </r>
  <r>
    <x v="240"/>
    <x v="50"/>
    <x v="3"/>
    <n v="12.99"/>
    <n v="693"/>
    <n v="4.32"/>
    <x v="3"/>
    <x v="3"/>
    <s v="In-store "/>
    <s v=" Cash"/>
    <s v="Walter Muller"/>
    <n v="9002.07"/>
  </r>
  <r>
    <x v="241"/>
    <x v="50"/>
    <x v="4"/>
    <n v="9.9499999999999993"/>
    <n v="282"/>
    <n v="2.85"/>
    <x v="3"/>
    <x v="3"/>
    <s v="In-store "/>
    <s v=" Cash"/>
    <s v="Walter Muller"/>
    <n v="2805.8999999999996"/>
  </r>
  <r>
    <x v="242"/>
    <x v="50"/>
    <x v="0"/>
    <n v="3.49"/>
    <n v="631"/>
    <n v="0.88"/>
    <x v="3"/>
    <x v="3"/>
    <s v="In-store "/>
    <s v=" Cash"/>
    <s v="Walter Muller"/>
    <n v="2202.19"/>
  </r>
  <r>
    <x v="243"/>
    <x v="50"/>
    <x v="1"/>
    <n v="2.95"/>
    <n v="678"/>
    <n v="0.47"/>
    <x v="3"/>
    <x v="3"/>
    <s v="In-store "/>
    <s v=" Gift Card"/>
    <s v="Walter Muller"/>
    <n v="2000.1000000000001"/>
  </r>
  <r>
    <x v="244"/>
    <x v="50"/>
    <x v="2"/>
    <n v="4.99"/>
    <n v="201"/>
    <n v="2.25"/>
    <x v="3"/>
    <x v="3"/>
    <s v="Drive-thru "/>
    <s v=" Gift Card"/>
    <s v="Walter Muller"/>
    <n v="1002.99"/>
  </r>
  <r>
    <x v="245"/>
    <x v="51"/>
    <x v="3"/>
    <n v="12.99"/>
    <n v="724"/>
    <n v="4.32"/>
    <x v="3"/>
    <x v="3"/>
    <s v="Drive-thru "/>
    <s v=" Gift Card"/>
    <s v="Walter Muller"/>
    <n v="9404.76"/>
  </r>
  <r>
    <x v="246"/>
    <x v="51"/>
    <x v="4"/>
    <n v="9.9499999999999993"/>
    <n v="302"/>
    <n v="2.85"/>
    <x v="3"/>
    <x v="3"/>
    <s v="Drive-thru "/>
    <s v=" Gift Card"/>
    <s v="Walter Muller"/>
    <n v="3004.8999999999996"/>
  </r>
  <r>
    <x v="247"/>
    <x v="51"/>
    <x v="0"/>
    <n v="3.49"/>
    <n v="631"/>
    <n v="0.88"/>
    <x v="3"/>
    <x v="3"/>
    <s v="Drive-thru "/>
    <s v=" Gift Card"/>
    <s v="Walter Muller"/>
    <n v="2202.19"/>
  </r>
  <r>
    <x v="248"/>
    <x v="51"/>
    <x v="1"/>
    <n v="2.95"/>
    <n v="678"/>
    <n v="0.47"/>
    <x v="3"/>
    <x v="3"/>
    <s v="Drive-thru "/>
    <s v=" Gift Card"/>
    <s v="Walter Muller"/>
    <n v="2000.1000000000001"/>
  </r>
  <r>
    <x v="249"/>
    <x v="51"/>
    <x v="2"/>
    <n v="4.99"/>
    <n v="201"/>
    <n v="2.25"/>
    <x v="3"/>
    <x v="3"/>
    <s v="Drive-thru "/>
    <s v=" Gift Card"/>
    <s v="Walter Muller"/>
    <n v="1002.99"/>
  </r>
  <r>
    <x v="250"/>
    <x v="52"/>
    <x v="3"/>
    <n v="12.99"/>
    <n v="755"/>
    <n v="4.32"/>
    <x v="3"/>
    <x v="3"/>
    <s v="Drive-thru "/>
    <s v=" Gift Card"/>
    <s v="Walter Muller"/>
    <n v="9807.4500000000007"/>
  </r>
  <r>
    <x v="251"/>
    <x v="52"/>
    <x v="4"/>
    <n v="9.9499999999999993"/>
    <n v="282"/>
    <n v="2.85"/>
    <x v="3"/>
    <x v="3"/>
    <s v="Drive-thru "/>
    <s v=" Gift Card"/>
    <s v="Walter Muller"/>
    <n v="2805.8999999999996"/>
  </r>
  <r>
    <x v="252"/>
    <x v="52"/>
    <x v="0"/>
    <n v="3.49"/>
    <n v="631"/>
    <n v="0.88"/>
    <x v="3"/>
    <x v="3"/>
    <s v="Drive-thru "/>
    <s v=" Gift Card"/>
    <s v="Walter Muller"/>
    <n v="2202.19"/>
  </r>
  <r>
    <x v="253"/>
    <x v="52"/>
    <x v="1"/>
    <n v="2.95"/>
    <n v="678"/>
    <n v="0.47"/>
    <x v="3"/>
    <x v="3"/>
    <s v="Drive-thru "/>
    <s v=" Gift Card"/>
    <s v="Walter Muller"/>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C2CFD-E406-4BCC-8AD3-5544429BCA12}" name="Tabella pivot5"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3">
  <location ref="A3:B9" firstHeaderRow="1" firstDataRow="1" firstDataCol="1"/>
  <pivotFields count="11">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f="1" x="5"/>
        <item x="2"/>
        <item x="1"/>
        <item x="4"/>
        <item x="0"/>
        <item x="3"/>
        <item t="default"/>
      </items>
    </pivotField>
    <pivotField dataField="1"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pivotField showAll="0"/>
    <pivotField showAll="0"/>
  </pivotFields>
  <rowFields count="1">
    <field x="2"/>
  </rowFields>
  <rowItems count="6">
    <i>
      <x/>
    </i>
    <i>
      <x v="3"/>
    </i>
    <i>
      <x v="1"/>
    </i>
    <i>
      <x v="2"/>
    </i>
    <i>
      <x v="4"/>
    </i>
    <i t="grand">
      <x/>
    </i>
  </rowItems>
  <colItems count="1">
    <i/>
  </colItems>
  <dataFields count="1">
    <dataField name="Somma di Quantity2" fld="7" baseField="0" baseItem="0" numFmtId="166"/>
  </dataFields>
  <formats count="1">
    <format dxfId="16">
      <pivotArea outline="0" collapsedLevelsAreSubtotals="1" fieldPosition="0"/>
    </format>
  </formats>
  <conditionalFormats count="1">
    <conditionalFormat priority="15">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612A8-A66E-4C56-A9FE-137386E95423}" name="Tabella pivot12"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0">
  <location ref="A57:C64" firstHeaderRow="1" firstDataRow="2" firstDataCol="1"/>
  <pivotFields count="11">
    <pivotField showAll="0"/>
    <pivotField numFmtId="14" showAll="0"/>
    <pivotField axis="axisRow" showAll="0">
      <items count="6">
        <item x="1"/>
        <item x="3"/>
        <item x="4"/>
        <item x="0"/>
        <item x="2"/>
        <item t="default"/>
      </items>
    </pivotField>
    <pivotField showAll="0"/>
    <pivotField multipleItemSelectionAllowed="1" showAll="0">
      <items count="4">
        <item x="2"/>
        <item h="1" x="1"/>
        <item h="1" x="0"/>
        <item t="default"/>
      </items>
    </pivotField>
    <pivotField multipleItemSelectionAllowed="1" showAll="0">
      <items count="4">
        <item x="2"/>
        <item x="1"/>
        <item x="0"/>
        <item t="default"/>
      </items>
    </pivotField>
    <pivotField axis="axisCol" showAll="0">
      <items count="7">
        <item h="1" f="1" x="5"/>
        <item h="1" x="2"/>
        <item h="1" x="1"/>
        <item x="4"/>
        <item h="1" x="0"/>
        <item h="1" x="3"/>
        <item t="default"/>
      </items>
    </pivotField>
    <pivotField dataField="1" showAll="0"/>
    <pivotField showAll="0"/>
    <pivotField showAll="0"/>
    <pivotField showAll="0"/>
  </pivotFields>
  <rowFields count="1">
    <field x="2"/>
  </rowFields>
  <rowItems count="6">
    <i>
      <x/>
    </i>
    <i>
      <x v="1"/>
    </i>
    <i>
      <x v="2"/>
    </i>
    <i>
      <x v="3"/>
    </i>
    <i>
      <x v="4"/>
    </i>
    <i t="grand">
      <x/>
    </i>
  </rowItems>
  <colFields count="1">
    <field x="6"/>
  </colFields>
  <colItems count="2">
    <i>
      <x v="3"/>
    </i>
    <i t="grand">
      <x/>
    </i>
  </colItems>
  <dataFields count="1">
    <dataField name="Somma di Quantity2" fld="7" baseField="0" baseItem="0"/>
  </dataFields>
  <formats count="2">
    <format dxfId="18">
      <pivotArea collapsedLevelsAreSubtotals="1" fieldPosition="0">
        <references count="1">
          <reference field="2" count="0"/>
        </references>
      </pivotArea>
    </format>
    <format dxfId="17">
      <pivotArea grandRow="1" outline="0" collapsedLevelsAreSubtotals="1" fieldPosition="0"/>
    </format>
  </formats>
  <chartFormats count="36">
    <chartFormat chart="7" format="20" series="1">
      <pivotArea type="data" outline="0" fieldPosition="0">
        <references count="1">
          <reference field="4294967294" count="1" selected="0">
            <x v="0"/>
          </reference>
        </references>
      </pivotArea>
    </chartFormat>
    <chartFormat chart="7" format="21" series="1">
      <pivotArea type="data" outline="0" fieldPosition="0">
        <references count="2">
          <reference field="4294967294" count="1" selected="0">
            <x v="0"/>
          </reference>
          <reference field="6" count="1" selected="0">
            <x v="1"/>
          </reference>
        </references>
      </pivotArea>
    </chartFormat>
    <chartFormat chart="7" format="22" series="1">
      <pivotArea type="data" outline="0" fieldPosition="0">
        <references count="2">
          <reference field="4294967294" count="1" selected="0">
            <x v="0"/>
          </reference>
          <reference field="6" count="1" selected="0">
            <x v="2"/>
          </reference>
        </references>
      </pivotArea>
    </chartFormat>
    <chartFormat chart="7" format="23" series="1">
      <pivotArea type="data" outline="0" fieldPosition="0">
        <references count="2">
          <reference field="4294967294" count="1" selected="0">
            <x v="0"/>
          </reference>
          <reference field="6" count="1" selected="0">
            <x v="3"/>
          </reference>
        </references>
      </pivotArea>
    </chartFormat>
    <chartFormat chart="7" format="24" series="1">
      <pivotArea type="data" outline="0" fieldPosition="0">
        <references count="2">
          <reference field="4294967294" count="1" selected="0">
            <x v="0"/>
          </reference>
          <reference field="6" count="1" selected="0">
            <x v="4"/>
          </reference>
        </references>
      </pivotArea>
    </chartFormat>
    <chartFormat chart="7" format="25" series="1">
      <pivotArea type="data" outline="0" fieldPosition="0">
        <references count="2">
          <reference field="4294967294" count="1" selected="0">
            <x v="0"/>
          </reference>
          <reference field="6" count="1" selected="0">
            <x v="5"/>
          </reference>
        </references>
      </pivotArea>
    </chartFormat>
    <chartFormat chart="7" format="26">
      <pivotArea type="data" outline="0" fieldPosition="0">
        <references count="3">
          <reference field="4294967294" count="1" selected="0">
            <x v="0"/>
          </reference>
          <reference field="2" count="1" selected="0">
            <x v="0"/>
          </reference>
          <reference field="6" count="1" selected="0">
            <x v="0"/>
          </reference>
        </references>
      </pivotArea>
    </chartFormat>
    <chartFormat chart="7" format="27">
      <pivotArea type="data" outline="0" fieldPosition="0">
        <references count="3">
          <reference field="4294967294" count="1" selected="0">
            <x v="0"/>
          </reference>
          <reference field="2" count="1" selected="0">
            <x v="1"/>
          </reference>
          <reference field="6" count="1" selected="0">
            <x v="0"/>
          </reference>
        </references>
      </pivotArea>
    </chartFormat>
    <chartFormat chart="7" format="28">
      <pivotArea type="data" outline="0" fieldPosition="0">
        <references count="3">
          <reference field="4294967294" count="1" selected="0">
            <x v="0"/>
          </reference>
          <reference field="2" count="1" selected="0">
            <x v="2"/>
          </reference>
          <reference field="6" count="1" selected="0">
            <x v="0"/>
          </reference>
        </references>
      </pivotArea>
    </chartFormat>
    <chartFormat chart="7" format="29">
      <pivotArea type="data" outline="0" fieldPosition="0">
        <references count="3">
          <reference field="4294967294" count="1" selected="0">
            <x v="0"/>
          </reference>
          <reference field="2" count="1" selected="0">
            <x v="3"/>
          </reference>
          <reference field="6" count="1" selected="0">
            <x v="0"/>
          </reference>
        </references>
      </pivotArea>
    </chartFormat>
    <chartFormat chart="7" format="30">
      <pivotArea type="data" outline="0" fieldPosition="0">
        <references count="3">
          <reference field="4294967294" count="1" selected="0">
            <x v="0"/>
          </reference>
          <reference field="2" count="1" selected="0">
            <x v="4"/>
          </reference>
          <reference field="6" count="1" selected="0">
            <x v="0"/>
          </reference>
        </references>
      </pivotArea>
    </chartFormat>
    <chartFormat chart="7" format="31">
      <pivotArea type="data" outline="0" fieldPosition="0">
        <references count="3">
          <reference field="4294967294" count="1" selected="0">
            <x v="0"/>
          </reference>
          <reference field="2" count="1" selected="0">
            <x v="0"/>
          </reference>
          <reference field="6" count="1" selected="0">
            <x v="1"/>
          </reference>
        </references>
      </pivotArea>
    </chartFormat>
    <chartFormat chart="7" format="32">
      <pivotArea type="data" outline="0" fieldPosition="0">
        <references count="3">
          <reference field="4294967294" count="1" selected="0">
            <x v="0"/>
          </reference>
          <reference field="2" count="1" selected="0">
            <x v="1"/>
          </reference>
          <reference field="6" count="1" selected="0">
            <x v="1"/>
          </reference>
        </references>
      </pivotArea>
    </chartFormat>
    <chartFormat chart="7" format="33">
      <pivotArea type="data" outline="0" fieldPosition="0">
        <references count="3">
          <reference field="4294967294" count="1" selected="0">
            <x v="0"/>
          </reference>
          <reference field="2" count="1" selected="0">
            <x v="2"/>
          </reference>
          <reference field="6" count="1" selected="0">
            <x v="1"/>
          </reference>
        </references>
      </pivotArea>
    </chartFormat>
    <chartFormat chart="7" format="34">
      <pivotArea type="data" outline="0" fieldPosition="0">
        <references count="3">
          <reference field="4294967294" count="1" selected="0">
            <x v="0"/>
          </reference>
          <reference field="2" count="1" selected="0">
            <x v="3"/>
          </reference>
          <reference field="6" count="1" selected="0">
            <x v="1"/>
          </reference>
        </references>
      </pivotArea>
    </chartFormat>
    <chartFormat chart="7" format="35">
      <pivotArea type="data" outline="0" fieldPosition="0">
        <references count="3">
          <reference field="4294967294" count="1" selected="0">
            <x v="0"/>
          </reference>
          <reference field="2" count="1" selected="0">
            <x v="4"/>
          </reference>
          <reference field="6" count="1" selected="0">
            <x v="1"/>
          </reference>
        </references>
      </pivotArea>
    </chartFormat>
    <chartFormat chart="7" format="36">
      <pivotArea type="data" outline="0" fieldPosition="0">
        <references count="3">
          <reference field="4294967294" count="1" selected="0">
            <x v="0"/>
          </reference>
          <reference field="2" count="1" selected="0">
            <x v="0"/>
          </reference>
          <reference field="6" count="1" selected="0">
            <x v="2"/>
          </reference>
        </references>
      </pivotArea>
    </chartFormat>
    <chartFormat chart="7" format="37">
      <pivotArea type="data" outline="0" fieldPosition="0">
        <references count="3">
          <reference field="4294967294" count="1" selected="0">
            <x v="0"/>
          </reference>
          <reference field="2" count="1" selected="0">
            <x v="1"/>
          </reference>
          <reference field="6" count="1" selected="0">
            <x v="2"/>
          </reference>
        </references>
      </pivotArea>
    </chartFormat>
    <chartFormat chart="7" format="38">
      <pivotArea type="data" outline="0" fieldPosition="0">
        <references count="3">
          <reference field="4294967294" count="1" selected="0">
            <x v="0"/>
          </reference>
          <reference field="2" count="1" selected="0">
            <x v="2"/>
          </reference>
          <reference field="6" count="1" selected="0">
            <x v="2"/>
          </reference>
        </references>
      </pivotArea>
    </chartFormat>
    <chartFormat chart="7" format="39">
      <pivotArea type="data" outline="0" fieldPosition="0">
        <references count="3">
          <reference field="4294967294" count="1" selected="0">
            <x v="0"/>
          </reference>
          <reference field="2" count="1" selected="0">
            <x v="3"/>
          </reference>
          <reference field="6" count="1" selected="0">
            <x v="2"/>
          </reference>
        </references>
      </pivotArea>
    </chartFormat>
    <chartFormat chart="7" format="40">
      <pivotArea type="data" outline="0" fieldPosition="0">
        <references count="3">
          <reference field="4294967294" count="1" selected="0">
            <x v="0"/>
          </reference>
          <reference field="2" count="1" selected="0">
            <x v="4"/>
          </reference>
          <reference field="6" count="1" selected="0">
            <x v="2"/>
          </reference>
        </references>
      </pivotArea>
    </chartFormat>
    <chartFormat chart="7" format="41">
      <pivotArea type="data" outline="0" fieldPosition="0">
        <references count="3">
          <reference field="4294967294" count="1" selected="0">
            <x v="0"/>
          </reference>
          <reference field="2" count="1" selected="0">
            <x v="0"/>
          </reference>
          <reference field="6" count="1" selected="0">
            <x v="3"/>
          </reference>
        </references>
      </pivotArea>
    </chartFormat>
    <chartFormat chart="7" format="42">
      <pivotArea type="data" outline="0" fieldPosition="0">
        <references count="3">
          <reference field="4294967294" count="1" selected="0">
            <x v="0"/>
          </reference>
          <reference field="2" count="1" selected="0">
            <x v="1"/>
          </reference>
          <reference field="6" count="1" selected="0">
            <x v="3"/>
          </reference>
        </references>
      </pivotArea>
    </chartFormat>
    <chartFormat chart="7" format="43">
      <pivotArea type="data" outline="0" fieldPosition="0">
        <references count="3">
          <reference field="4294967294" count="1" selected="0">
            <x v="0"/>
          </reference>
          <reference field="2" count="1" selected="0">
            <x v="2"/>
          </reference>
          <reference field="6" count="1" selected="0">
            <x v="3"/>
          </reference>
        </references>
      </pivotArea>
    </chartFormat>
    <chartFormat chart="7" format="44">
      <pivotArea type="data" outline="0" fieldPosition="0">
        <references count="3">
          <reference field="4294967294" count="1" selected="0">
            <x v="0"/>
          </reference>
          <reference field="2" count="1" selected="0">
            <x v="3"/>
          </reference>
          <reference field="6" count="1" selected="0">
            <x v="3"/>
          </reference>
        </references>
      </pivotArea>
    </chartFormat>
    <chartFormat chart="7" format="45">
      <pivotArea type="data" outline="0" fieldPosition="0">
        <references count="3">
          <reference field="4294967294" count="1" selected="0">
            <x v="0"/>
          </reference>
          <reference field="2" count="1" selected="0">
            <x v="4"/>
          </reference>
          <reference field="6" count="1" selected="0">
            <x v="3"/>
          </reference>
        </references>
      </pivotArea>
    </chartFormat>
    <chartFormat chart="7" format="46">
      <pivotArea type="data" outline="0" fieldPosition="0">
        <references count="3">
          <reference field="4294967294" count="1" selected="0">
            <x v="0"/>
          </reference>
          <reference field="2" count="1" selected="0">
            <x v="0"/>
          </reference>
          <reference field="6" count="1" selected="0">
            <x v="4"/>
          </reference>
        </references>
      </pivotArea>
    </chartFormat>
    <chartFormat chart="7" format="47">
      <pivotArea type="data" outline="0" fieldPosition="0">
        <references count="3">
          <reference field="4294967294" count="1" selected="0">
            <x v="0"/>
          </reference>
          <reference field="2" count="1" selected="0">
            <x v="1"/>
          </reference>
          <reference field="6" count="1" selected="0">
            <x v="4"/>
          </reference>
        </references>
      </pivotArea>
    </chartFormat>
    <chartFormat chart="7" format="48">
      <pivotArea type="data" outline="0" fieldPosition="0">
        <references count="3">
          <reference field="4294967294" count="1" selected="0">
            <x v="0"/>
          </reference>
          <reference field="2" count="1" selected="0">
            <x v="2"/>
          </reference>
          <reference field="6" count="1" selected="0">
            <x v="4"/>
          </reference>
        </references>
      </pivotArea>
    </chartFormat>
    <chartFormat chart="7" format="49">
      <pivotArea type="data" outline="0" fieldPosition="0">
        <references count="3">
          <reference field="4294967294" count="1" selected="0">
            <x v="0"/>
          </reference>
          <reference field="2" count="1" selected="0">
            <x v="3"/>
          </reference>
          <reference field="6" count="1" selected="0">
            <x v="4"/>
          </reference>
        </references>
      </pivotArea>
    </chartFormat>
    <chartFormat chart="7" format="50">
      <pivotArea type="data" outline="0" fieldPosition="0">
        <references count="3">
          <reference field="4294967294" count="1" selected="0">
            <x v="0"/>
          </reference>
          <reference field="2" count="1" selected="0">
            <x v="4"/>
          </reference>
          <reference field="6" count="1" selected="0">
            <x v="4"/>
          </reference>
        </references>
      </pivotArea>
    </chartFormat>
    <chartFormat chart="7" format="51">
      <pivotArea type="data" outline="0" fieldPosition="0">
        <references count="3">
          <reference field="4294967294" count="1" selected="0">
            <x v="0"/>
          </reference>
          <reference field="2" count="1" selected="0">
            <x v="0"/>
          </reference>
          <reference field="6" count="1" selected="0">
            <x v="5"/>
          </reference>
        </references>
      </pivotArea>
    </chartFormat>
    <chartFormat chart="7" format="52">
      <pivotArea type="data" outline="0" fieldPosition="0">
        <references count="3">
          <reference field="4294967294" count="1" selected="0">
            <x v="0"/>
          </reference>
          <reference field="2" count="1" selected="0">
            <x v="1"/>
          </reference>
          <reference field="6" count="1" selected="0">
            <x v="5"/>
          </reference>
        </references>
      </pivotArea>
    </chartFormat>
    <chartFormat chart="7" format="53">
      <pivotArea type="data" outline="0" fieldPosition="0">
        <references count="3">
          <reference field="4294967294" count="1" selected="0">
            <x v="0"/>
          </reference>
          <reference field="2" count="1" selected="0">
            <x v="2"/>
          </reference>
          <reference field="6" count="1" selected="0">
            <x v="5"/>
          </reference>
        </references>
      </pivotArea>
    </chartFormat>
    <chartFormat chart="7" format="54">
      <pivotArea type="data" outline="0" fieldPosition="0">
        <references count="3">
          <reference field="4294967294" count="1" selected="0">
            <x v="0"/>
          </reference>
          <reference field="2" count="1" selected="0">
            <x v="3"/>
          </reference>
          <reference field="6" count="1" selected="0">
            <x v="5"/>
          </reference>
        </references>
      </pivotArea>
    </chartFormat>
    <chartFormat chart="7" format="55">
      <pivotArea type="data" outline="0" fieldPosition="0">
        <references count="3">
          <reference field="4294967294" count="1" selected="0">
            <x v="0"/>
          </reference>
          <reference field="2" count="1" selected="0">
            <x v="4"/>
          </reference>
          <reference field="6" count="1" selected="0">
            <x v="5"/>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DB4CAA-A4F2-4FC7-B2B9-F09D277CCDED}" name="Tabella pivot6" cacheId="0" applyNumberFormats="0" applyBorderFormats="0" applyFontFormats="0" applyPatternFormats="0" applyAlignmentFormats="0" applyWidthHeightFormats="1" dataCaption="Valori" updatedVersion="8" minRefreshableVersion="3" itemPrintTitles="1" createdVersion="8" indent="0" outline="1" outlineData="1" multipleFieldFilters="0" chartFormat="6">
  <location ref="A13:B19" firstHeaderRow="1" firstDataRow="1" firstDataCol="1"/>
  <pivotFields count="11">
    <pivotField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numFmtId="14" showAll="0"/>
    <pivotField showAll="0"/>
    <pivotField showAll="0"/>
    <pivotField showAll="0"/>
    <pivotField showAll="0"/>
    <pivotField axis="axisRow" showAll="0">
      <items count="7">
        <item h="1" f="1" x="5"/>
        <item x="2"/>
        <item x="1"/>
        <item x="4"/>
        <item x="0"/>
        <item x="3"/>
        <item t="default"/>
      </items>
    </pivotField>
    <pivotField showAll="0"/>
    <pivotField showAll="0">
      <items count="6">
        <item x="3"/>
        <item x="2"/>
        <item x="0"/>
        <item x="1"/>
        <item x="4"/>
        <item t="default"/>
      </items>
    </pivotField>
    <pivotField showAll="0"/>
    <pivotField dataField="1" showAll="0"/>
  </pivotFields>
  <rowFields count="1">
    <field x="6"/>
  </rowFields>
  <rowItems count="6">
    <i>
      <x v="1"/>
    </i>
    <i>
      <x v="2"/>
    </i>
    <i>
      <x v="3"/>
    </i>
    <i>
      <x v="4"/>
    </i>
    <i>
      <x v="5"/>
    </i>
    <i t="grand">
      <x/>
    </i>
  </rowItems>
  <colItems count="1">
    <i/>
  </colItems>
  <dataFields count="1">
    <dataField name="Somma di Ricavo" fld="10" baseField="0" baseItem="0" numFmtId="43"/>
  </dataFields>
  <formats count="1">
    <format dxfId="19">
      <pivotArea outline="0" collapsedLevelsAreSubtotals="1" fieldPosition="0"/>
    </format>
  </formats>
  <conditionalFormats count="1">
    <conditionalFormat priority="14">
      <pivotAreas count="1">
        <pivotArea type="data" collapsedLevelsAreSubtotals="1" fieldPosition="0">
          <references count="2">
            <reference field="4294967294" count="1" selected="0">
              <x v="0"/>
            </reference>
            <reference field="6" count="5">
              <x v="1"/>
              <x v="2"/>
              <x v="3"/>
              <x v="4"/>
              <x v="5"/>
            </reference>
          </references>
        </pivotArea>
      </pivotAreas>
    </conditionalFormat>
  </conditional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2">
          <reference field="4294967294" count="1" selected="0">
            <x v="0"/>
          </reference>
          <reference field="6" count="1" selected="0">
            <x v="5"/>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EAF482-E7BA-44AE-B50C-C91DD18987D1}" name="Tabella pivot16"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3">
  <location ref="A87:B102" firstHeaderRow="1" firstDataRow="1" firstDataCol="1" rowPageCount="1" colPageCount="1"/>
  <pivotFields count="11">
    <pivotField showAll="0"/>
    <pivotField numFmtId="14" showAll="0"/>
    <pivotField axis="axisRow" showAll="0">
      <items count="6">
        <item x="1"/>
        <item x="3"/>
        <item x="4"/>
        <item x="0"/>
        <item x="2"/>
        <item t="default"/>
      </items>
    </pivotField>
    <pivotField showAll="0"/>
    <pivotField showAll="0">
      <items count="4">
        <item x="2"/>
        <item x="1"/>
        <item x="0"/>
        <item t="default"/>
      </items>
    </pivotField>
    <pivotField axis="axisRow" showAll="0">
      <items count="4">
        <item x="2"/>
        <item x="1"/>
        <item x="0"/>
        <item t="default"/>
      </items>
    </pivotField>
    <pivotField axis="axisRow" showAll="0">
      <items count="7">
        <item sd="0" f="1" x="5"/>
        <item x="2"/>
        <item x="1"/>
        <item x="4"/>
        <item x="0"/>
        <item x="3"/>
        <item t="default"/>
      </items>
    </pivotField>
    <pivotField showAll="0"/>
    <pivotField axis="axisPage" multipleItemSelectionAllowed="1" showAll="0">
      <items count="6">
        <item h="1" x="3"/>
        <item h="1" x="2"/>
        <item h="1" x="0"/>
        <item h="1" x="1"/>
        <item x="4"/>
        <item t="default"/>
      </items>
    </pivotField>
    <pivotField showAll="0"/>
    <pivotField dataField="1" showAll="0"/>
  </pivotFields>
  <rowFields count="3">
    <field x="6"/>
    <field x="5"/>
    <field x="2"/>
  </rowFields>
  <rowItems count="15">
    <i>
      <x/>
    </i>
    <i>
      <x v="3"/>
    </i>
    <i r="1">
      <x/>
    </i>
    <i r="2">
      <x/>
    </i>
    <i r="2">
      <x v="1"/>
    </i>
    <i r="2">
      <x v="2"/>
    </i>
    <i r="2">
      <x v="3"/>
    </i>
    <i r="2">
      <x v="4"/>
    </i>
    <i r="1">
      <x v="1"/>
    </i>
    <i r="2">
      <x/>
    </i>
    <i r="2">
      <x v="1"/>
    </i>
    <i r="2">
      <x v="2"/>
    </i>
    <i r="2">
      <x v="3"/>
    </i>
    <i r="2">
      <x v="4"/>
    </i>
    <i t="grand">
      <x/>
    </i>
  </rowItems>
  <colItems count="1">
    <i/>
  </colItems>
  <pageFields count="1">
    <pageField fld="8" hier="-1"/>
  </pageFields>
  <dataFields count="1">
    <dataField name="Somma di Ricavo" fld="10" baseField="0" baseItem="0" numFmtId="43"/>
  </dataFields>
  <formats count="5">
    <format dxfId="24">
      <pivotArea collapsedLevelsAreSubtotals="1" fieldPosition="0">
        <references count="1">
          <reference field="6" count="1">
            <x v="1"/>
          </reference>
        </references>
      </pivotArea>
    </format>
    <format dxfId="23">
      <pivotArea collapsedLevelsAreSubtotals="1" fieldPosition="0">
        <references count="1">
          <reference field="6" count="1">
            <x v="2"/>
          </reference>
        </references>
      </pivotArea>
    </format>
    <format dxfId="22">
      <pivotArea collapsedLevelsAreSubtotals="1" fieldPosition="0">
        <references count="1">
          <reference field="6" count="1">
            <x v="3"/>
          </reference>
        </references>
      </pivotArea>
    </format>
    <format dxfId="21">
      <pivotArea collapsedLevelsAreSubtotals="1" fieldPosition="0">
        <references count="1">
          <reference field="6" count="1">
            <x v="4"/>
          </reference>
        </references>
      </pivotArea>
    </format>
    <format dxfId="20">
      <pivotArea collapsedLevelsAreSubtotals="1" fieldPosition="0">
        <references count="1">
          <reference field="6" count="1">
            <x v="5"/>
          </reference>
        </references>
      </pivotArea>
    </format>
  </formats>
  <conditionalFormats count="12">
    <conditionalFormat priority="12">
      <pivotAreas count="1">
        <pivotArea type="data" collapsedLevelsAreSubtotals="1" fieldPosition="0">
          <references count="4">
            <reference field="4294967294" count="1" selected="0">
              <x v="0"/>
            </reference>
            <reference field="2" count="5">
              <x v="0"/>
              <x v="1"/>
              <x v="2"/>
              <x v="3"/>
              <x v="4"/>
            </reference>
            <reference field="5" count="1" selected="0">
              <x v="0"/>
            </reference>
            <reference field="6" count="1" selected="0">
              <x v="1"/>
            </reference>
          </references>
        </pivotArea>
      </pivotAreas>
    </conditionalFormat>
    <conditionalFormat priority="11">
      <pivotAreas count="1">
        <pivotArea type="data" collapsedLevelsAreSubtotals="1" fieldPosition="0">
          <references count="4">
            <reference field="4294967294" count="1" selected="0">
              <x v="0"/>
            </reference>
            <reference field="2" count="5">
              <x v="0"/>
              <x v="1"/>
              <x v="2"/>
              <x v="3"/>
              <x v="4"/>
            </reference>
            <reference field="5" count="1" selected="0">
              <x v="1"/>
            </reference>
            <reference field="6" count="1" selected="0">
              <x v="1"/>
            </reference>
          </references>
        </pivotArea>
      </pivotAreas>
    </conditionalFormat>
    <conditionalFormat priority="10">
      <pivotAreas count="1">
        <pivotArea type="data" collapsedLevelsAreSubtotals="1" fieldPosition="0">
          <references count="4">
            <reference field="4294967294" count="1" selected="0">
              <x v="0"/>
            </reference>
            <reference field="2" count="5">
              <x v="0"/>
              <x v="1"/>
              <x v="2"/>
              <x v="3"/>
              <x v="4"/>
            </reference>
            <reference field="5" count="1" selected="0">
              <x v="2"/>
            </reference>
            <reference field="6" count="1" selected="0">
              <x v="1"/>
            </reference>
          </references>
        </pivotArea>
      </pivotAreas>
    </conditionalFormat>
    <conditionalFormat priority="9">
      <pivotAreas count="1">
        <pivotArea type="data" collapsedLevelsAreSubtotals="1" fieldPosition="0">
          <references count="4">
            <reference field="4294967294" count="1" selected="0">
              <x v="0"/>
            </reference>
            <reference field="2" count="5">
              <x v="0"/>
              <x v="1"/>
              <x v="2"/>
              <x v="3"/>
              <x v="4"/>
            </reference>
            <reference field="5" count="1" selected="0">
              <x v="1"/>
            </reference>
            <reference field="6" count="1" selected="0">
              <x v="2"/>
            </reference>
          </references>
        </pivotArea>
      </pivotAreas>
    </conditionalFormat>
    <conditionalFormat priority="8">
      <pivotAreas count="1">
        <pivotArea type="data" collapsedLevelsAreSubtotals="1" fieldPosition="0">
          <references count="4">
            <reference field="4294967294" count="1" selected="0">
              <x v="0"/>
            </reference>
            <reference field="2" count="5">
              <x v="0"/>
              <x v="1"/>
              <x v="2"/>
              <x v="3"/>
              <x v="4"/>
            </reference>
            <reference field="5" count="1" selected="0">
              <x v="0"/>
            </reference>
            <reference field="6" count="1" selected="0">
              <x v="3"/>
            </reference>
          </references>
        </pivotArea>
      </pivotAreas>
    </conditionalFormat>
    <conditionalFormat priority="7">
      <pivotAreas count="1">
        <pivotArea type="data" collapsedLevelsAreSubtotals="1" fieldPosition="0">
          <references count="4">
            <reference field="4294967294" count="1" selected="0">
              <x v="0"/>
            </reference>
            <reference field="2" count="5">
              <x v="0"/>
              <x v="1"/>
              <x v="2"/>
              <x v="3"/>
              <x v="4"/>
            </reference>
            <reference field="5" count="1" selected="0">
              <x v="1"/>
            </reference>
            <reference field="6" count="1" selected="0">
              <x v="3"/>
            </reference>
          </references>
        </pivotArea>
      </pivotAreas>
    </conditionalFormat>
    <conditionalFormat priority="6">
      <pivotAreas count="1">
        <pivotArea type="data" collapsedLevelsAreSubtotals="1" fieldPosition="0">
          <references count="4">
            <reference field="4294967294" count="1" selected="0">
              <x v="0"/>
            </reference>
            <reference field="2" count="5">
              <x v="0"/>
              <x v="1"/>
              <x v="2"/>
              <x v="3"/>
              <x v="4"/>
            </reference>
            <reference field="5" count="1" selected="0">
              <x v="0"/>
            </reference>
            <reference field="6" count="1" selected="0">
              <x v="4"/>
            </reference>
          </references>
        </pivotArea>
      </pivotAreas>
    </conditionalFormat>
    <conditionalFormat priority="5">
      <pivotAreas count="1">
        <pivotArea type="data" collapsedLevelsAreSubtotals="1" fieldPosition="0">
          <references count="4">
            <reference field="4294967294" count="1" selected="0">
              <x v="0"/>
            </reference>
            <reference field="2" count="5">
              <x v="0"/>
              <x v="1"/>
              <x v="2"/>
              <x v="3"/>
              <x v="4"/>
            </reference>
            <reference field="5" count="1" selected="0">
              <x v="1"/>
            </reference>
            <reference field="6" count="1" selected="0">
              <x v="4"/>
            </reference>
          </references>
        </pivotArea>
      </pivotAreas>
    </conditionalFormat>
    <conditionalFormat priority="4">
      <pivotAreas count="1">
        <pivotArea type="data" collapsedLevelsAreSubtotals="1" fieldPosition="0">
          <references count="4">
            <reference field="4294967294" count="1" selected="0">
              <x v="0"/>
            </reference>
            <reference field="2" count="5">
              <x v="0"/>
              <x v="1"/>
              <x v="2"/>
              <x v="3"/>
              <x v="4"/>
            </reference>
            <reference field="5" count="1" selected="0">
              <x v="2"/>
            </reference>
            <reference field="6" count="1" selected="0">
              <x v="4"/>
            </reference>
          </references>
        </pivotArea>
      </pivotAreas>
    </conditionalFormat>
    <conditionalFormat priority="3">
      <pivotAreas count="1">
        <pivotArea type="data" collapsedLevelsAreSubtotals="1" fieldPosition="0">
          <references count="4">
            <reference field="4294967294" count="1" selected="0">
              <x v="0"/>
            </reference>
            <reference field="2" count="5">
              <x v="0"/>
              <x v="1"/>
              <x v="2"/>
              <x v="3"/>
              <x v="4"/>
            </reference>
            <reference field="5" count="1" selected="0">
              <x v="0"/>
            </reference>
            <reference field="6" count="1" selected="0">
              <x v="5"/>
            </reference>
          </references>
        </pivotArea>
      </pivotAreas>
    </conditionalFormat>
    <conditionalFormat priority="2">
      <pivotAreas count="1">
        <pivotArea type="data" collapsedLevelsAreSubtotals="1" fieldPosition="0">
          <references count="4">
            <reference field="4294967294" count="1" selected="0">
              <x v="0"/>
            </reference>
            <reference field="2" count="3">
              <x v="1"/>
              <x v="2"/>
              <x v="4"/>
            </reference>
            <reference field="5" count="1" selected="0">
              <x v="1"/>
            </reference>
            <reference field="6" count="1" selected="0">
              <x v="5"/>
            </reference>
          </references>
        </pivotArea>
      </pivotAreas>
    </conditionalFormat>
    <conditionalFormat priority="1">
      <pivotAreas count="1">
        <pivotArea type="data" collapsedLevelsAreSubtotals="1" fieldPosition="0">
          <references count="4">
            <reference field="4294967294" count="1" selected="0">
              <x v="0"/>
            </reference>
            <reference field="2" count="5">
              <x v="0"/>
              <x v="1"/>
              <x v="2"/>
              <x v="3"/>
              <x v="4"/>
            </reference>
            <reference field="5" count="1" selected="0">
              <x v="2"/>
            </reference>
            <reference field="6" count="1" selected="0">
              <x v="5"/>
            </reference>
          </references>
        </pivotArea>
      </pivotAreas>
    </conditionalFormat>
  </conditional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1"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A4E2F-D65C-4388-8487-652D6C724D9A}" name="Tabella pivot15"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8">
  <location ref="A71:B75" firstHeaderRow="1" firstDataRow="1" firstDataCol="1"/>
  <pivotFields count="11">
    <pivotField axis="axisRow" showAll="0" measureFilter="1" sortType="descending">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7">
        <item f="1" x="5"/>
        <item x="2"/>
        <item x="1"/>
        <item x="4"/>
        <item x="0"/>
        <item x="3"/>
        <item t="default"/>
      </items>
    </pivotField>
    <pivotField showAll="0"/>
    <pivotField showAll="0">
      <items count="6">
        <item x="3"/>
        <item x="2"/>
        <item x="0"/>
        <item x="1"/>
        <item x="4"/>
        <item t="default"/>
      </items>
    </pivotField>
    <pivotField showAll="0"/>
    <pivotField dataField="1" showAll="0"/>
  </pivotFields>
  <rowFields count="1">
    <field x="0"/>
  </rowFields>
  <rowItems count="4">
    <i>
      <x v="29"/>
    </i>
    <i>
      <x v="31"/>
    </i>
    <i>
      <x v="28"/>
    </i>
    <i t="grand">
      <x/>
    </i>
  </rowItems>
  <colItems count="1">
    <i/>
  </colItems>
  <dataFields count="1">
    <dataField name="Somma di Ricavo" fld="10" showDataAs="percentOfTotal" baseField="0" baseItem="0" numFmtId="10"/>
  </dataFields>
  <formats count="2">
    <format dxfId="26">
      <pivotArea outline="0" collapsedLevelsAreSubtotals="1" fieldPosition="0"/>
    </format>
    <format dxfId="25">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0" type="valueGreaterThan" evalOrder="-1" id="1"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049213-A764-4318-B41F-617C3B73EB54}" name="Tabella pivot14"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
  <location ref="A29:B32" firstHeaderRow="1" firstDataRow="1" firstDataCol="1"/>
  <pivotFields count="3">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xis="axisRow" allDrilled="1" subtotalTop="0" showAll="0" dataSourceSort="1" defaultSubtotal="0">
      <items count="2">
        <item x="0" e="0"/>
        <item x="1" e="0"/>
      </items>
    </pivotField>
    <pivotField dataField="1" subtotalTop="0" showAll="0" defaultSubtotal="0"/>
  </pivotFields>
  <rowFields count="2">
    <field x="1"/>
    <field x="0"/>
  </rowFields>
  <rowItems count="3">
    <i>
      <x/>
    </i>
    <i>
      <x v="1"/>
    </i>
    <i t="grand">
      <x/>
    </i>
  </rowItems>
  <colItems count="1">
    <i/>
  </colItems>
  <dataFields count="1">
    <dataField name="Somma di Ricavo" fld="2" baseField="0" baseItem="0"/>
  </dataFields>
  <formats count="2">
    <format dxfId="28">
      <pivotArea collapsedLevelsAreSubtotals="1" fieldPosition="0">
        <references count="1">
          <reference field="1" count="1">
            <x v="0"/>
          </reference>
        </references>
      </pivotArea>
    </format>
    <format dxfId="27">
      <pivotArea collapsedLevelsAreSubtotals="1" fieldPosition="0">
        <references count="1">
          <reference field="1"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Dark5"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rt-Data-Analysis.xlsx!Tabella3">
        <x15:activeTabTopLevelEntity name="[Tabell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71E80B-362C-4625-9AA8-4336284AF46A}" name="Tabella pivot1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3">
  <location ref="A42:B48" firstHeaderRow="1" firstDataRow="1" firstDataCol="1"/>
  <pivotFields count="11">
    <pivotField showAll="0"/>
    <pivotField numFmtId="14" showAll="0"/>
    <pivotField showAll="0"/>
    <pivotField showAll="0"/>
    <pivotField showAll="0"/>
    <pivotField showAll="0"/>
    <pivotField showAll="0">
      <items count="7">
        <item f="1" x="5"/>
        <item x="2"/>
        <item x="1"/>
        <item x="4"/>
        <item x="0"/>
        <item x="3"/>
        <item t="default"/>
      </items>
    </pivotField>
    <pivotField showAll="0"/>
    <pivotField showAll="0"/>
    <pivotField axis="axisRow" showAll="0">
      <items count="6">
        <item x="4"/>
        <item x="3"/>
        <item x="0"/>
        <item x="2"/>
        <item x="1"/>
        <item t="default"/>
      </items>
    </pivotField>
    <pivotField dataField="1" showAll="0"/>
  </pivotFields>
  <rowFields count="1">
    <field x="9"/>
  </rowFields>
  <rowItems count="6">
    <i>
      <x/>
    </i>
    <i>
      <x v="1"/>
    </i>
    <i>
      <x v="2"/>
    </i>
    <i>
      <x v="3"/>
    </i>
    <i>
      <x v="4"/>
    </i>
    <i t="grand">
      <x/>
    </i>
  </rowItems>
  <colItems count="1">
    <i/>
  </colItems>
  <dataFields count="1">
    <dataField name="Somma di Ricavo" fld="10" showDataAs="percentOfTotal" baseField="0" baseItem="0" numFmtId="10"/>
  </dataFields>
  <formats count="2">
    <format dxfId="30">
      <pivotArea outline="0" collapsedLevelsAreSubtotals="1" fieldPosition="0"/>
    </format>
    <format dxfId="29">
      <pivotArea outline="0" fieldPosition="0">
        <references count="1">
          <reference field="4294967294" count="1">
            <x v="0"/>
          </reference>
        </references>
      </pivotArea>
    </format>
  </formats>
  <conditionalFormats count="1">
    <conditionalFormat priority="13">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222D43-E413-4DC5-A28E-B866CD0C47E0}" name="Tabella pivot13"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3">
  <location ref="O8:P14" firstHeaderRow="1" firstDataRow="1" firstDataCol="1"/>
  <pivotFields count="14">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numFmtId="1" showAll="0"/>
    <pivotField showAll="0"/>
    <pivotField showAll="0"/>
    <pivotField axis="axisRow" showAll="0">
      <items count="6">
        <item x="4"/>
        <item x="3"/>
        <item x="2"/>
        <item x="1"/>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omma di Revenue" fld="11"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45E9C5-F3BF-4ED7-9152-739FF0C79FA3}" name="Tabella pivot1" cacheId="0" applyNumberFormats="0" applyBorderFormats="0" applyFontFormats="0" applyPatternFormats="0" applyAlignmentFormats="0" applyWidthHeightFormats="1" dataCaption="Valori" updatedVersion="8" minRefreshableVersion="3" showDrill="0" useAutoFormatting="1" itemPrintTitles="1" createdVersion="8" indent="0" showHeaders="0" outline="1" outlineData="1" multipleFieldFilters="0">
  <location ref="C13:E50" firstHeaderRow="0" firstDataRow="1" firstDataCol="1"/>
  <pivotFields count="11">
    <pivotField showAll="0"/>
    <pivotField numFmtId="14" showAll="0"/>
    <pivotField axis="axisRow" showAll="0">
      <items count="6">
        <item x="1"/>
        <item x="3"/>
        <item x="4"/>
        <item x="0"/>
        <item x="2"/>
        <item t="default"/>
      </items>
    </pivotField>
    <pivotField showAll="0"/>
    <pivotField showAll="0"/>
    <pivotField showAll="0"/>
    <pivotField axis="axisRow" showAll="0">
      <items count="7">
        <item f="1" x="5"/>
        <item x="2"/>
        <item x="1"/>
        <item x="4"/>
        <item x="0"/>
        <item x="3"/>
        <item t="default"/>
      </items>
    </pivotField>
    <pivotField dataField="1" showAll="0"/>
    <pivotField showAll="0">
      <items count="6">
        <item x="3"/>
        <item x="2"/>
        <item x="0"/>
        <item x="1"/>
        <item x="4"/>
        <item t="default"/>
      </items>
    </pivotField>
    <pivotField showAll="0"/>
    <pivotField dataField="1" showAll="0"/>
  </pivotFields>
  <rowFields count="2">
    <field x="6"/>
    <field x="2"/>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2"/>
  </colFields>
  <colItems count="2">
    <i>
      <x/>
    </i>
    <i i="1">
      <x v="1"/>
    </i>
  </colItems>
  <dataFields count="2">
    <dataField name=" Ricavo" fld="10" baseField="0" baseItem="0"/>
    <dataField name=" Quantity2" fld="7"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A113F2-E882-48A0-8E56-7CD6C22BA466}" name="Tabella pivot2" cacheId="0" applyNumberFormats="0" applyBorderFormats="0" applyFontFormats="0" applyPatternFormats="0" applyAlignmentFormats="0" applyWidthHeightFormats="1" dataCaption="Valori" updatedVersion="8" minRefreshableVersion="3" showDrill="0" useAutoFormatting="1" itemPrintTitles="1" createdVersion="8" indent="0" showHeaders="0" outline="1" outlineData="1" multipleFieldFilters="0">
  <location ref="G13:H19" firstHeaderRow="1" firstDataRow="1" firstDataCol="1"/>
  <pivotFields count="11">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2"/>
        <item x="1"/>
        <item x="4"/>
        <item x="0"/>
        <item x="3"/>
        <item f="1" x="5"/>
        <item t="default"/>
      </items>
    </pivotField>
    <pivotField dataField="1" showAll="0"/>
    <pivotField showAll="0">
      <items count="6">
        <item x="3"/>
        <item x="2"/>
        <item x="0"/>
        <item x="1"/>
        <item x="4"/>
        <item t="default"/>
      </items>
    </pivotField>
    <pivotField showAll="0"/>
    <pivotField showAll="0"/>
  </pivotFields>
  <rowFields count="1">
    <field x="2"/>
  </rowFields>
  <rowItems count="6">
    <i>
      <x/>
    </i>
    <i>
      <x v="3"/>
    </i>
    <i>
      <x v="1"/>
    </i>
    <i>
      <x v="2"/>
    </i>
    <i>
      <x v="4"/>
    </i>
    <i t="grand">
      <x/>
    </i>
  </rowItems>
  <colItems count="1">
    <i/>
  </colItems>
  <dataFields count="1">
    <dataField name=" Quantity2" fld="7" baseField="0" baseItem="0"/>
  </dataFields>
  <conditionalFormats count="1">
    <conditionalFormat priority="3">
      <pivotAreas count="1">
        <pivotArea fieldPosition="0">
          <references count="1">
            <reference field="2"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6B0D17-22AC-4881-BF24-BD62A14B950F}" name="Tabella pivot3" cacheId="0" applyNumberFormats="0" applyBorderFormats="0" applyFontFormats="0" applyPatternFormats="0" applyAlignmentFormats="0" applyWidthHeightFormats="1" dataCaption="Valori" updatedVersion="8" minRefreshableVersion="3" showDrill="0" useAutoFormatting="1" itemPrintTitles="1" createdVersion="8" indent="0" showHeaders="0" outline="1" outlineData="1" multipleFieldFilters="0">
  <location ref="G22:H26" firstHeaderRow="1" firstDataRow="1" firstDataCol="1"/>
  <pivotFields count="11">
    <pivotField showAll="0"/>
    <pivotField numFmtId="14" showAll="0"/>
    <pivotField showAll="0">
      <items count="6">
        <item x="1"/>
        <item x="3"/>
        <item x="4"/>
        <item x="0"/>
        <item x="2"/>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2"/>
        <item x="1"/>
        <item x="4"/>
        <item x="0"/>
        <item x="3"/>
        <item f="1" x="5"/>
        <item t="default"/>
      </items>
    </pivotField>
    <pivotField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items count="6">
        <item x="3"/>
        <item x="2"/>
        <item x="0"/>
        <item x="1"/>
        <item x="4"/>
        <item t="default"/>
      </items>
    </pivotField>
    <pivotField showAll="0">
      <items count="6">
        <item x="4"/>
        <item x="3"/>
        <item x="0"/>
        <item x="2"/>
        <item x="1"/>
        <item t="default"/>
      </items>
    </pivotField>
    <pivotField dataField="1" showAll="0">
      <items count="35">
        <item x="2"/>
        <item x="6"/>
        <item x="0"/>
        <item x="4"/>
        <item x="1"/>
        <item x="7"/>
        <item x="22"/>
        <item x="16"/>
        <item x="27"/>
        <item x="28"/>
        <item x="30"/>
        <item x="32"/>
        <item x="12"/>
        <item x="20"/>
        <item x="14"/>
        <item x="19"/>
        <item x="17"/>
        <item x="18"/>
        <item x="9"/>
        <item x="8"/>
        <item x="15"/>
        <item x="5"/>
        <item x="3"/>
        <item x="21"/>
        <item x="23"/>
        <item x="24"/>
        <item x="25"/>
        <item x="26"/>
        <item x="29"/>
        <item x="31"/>
        <item x="33"/>
        <item x="13"/>
        <item x="10"/>
        <item x="11"/>
        <item t="default"/>
      </items>
    </pivotField>
  </pivotFields>
  <rowFields count="1">
    <field x="5"/>
  </rowFields>
  <rowItems count="4">
    <i>
      <x v="1"/>
    </i>
    <i>
      <x/>
    </i>
    <i>
      <x v="2"/>
    </i>
    <i t="grand">
      <x/>
    </i>
  </rowItems>
  <colItems count="1">
    <i/>
  </colItems>
  <dataFields count="1">
    <dataField name="Somma di Ricavo" fld="10" showDataAs="percentOfTotal" baseField="0" baseItem="0" numFmtId="10"/>
  </dataFields>
  <conditionalFormats count="1">
    <conditionalFormat priority="1">
      <pivotAreas count="1">
        <pivotArea fieldPosition="0">
          <references count="1">
            <reference field="5"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erlino" TargetMode="External"/><Relationship Id="rId13" Type="http://schemas.openxmlformats.org/officeDocument/2006/relationships/hyperlink" Target="https://www.bing.com/th?id=OSK.2d7b7af86f9a55648a4aec7fbe3969e6&amp;qlt=95" TargetMode="External"/><Relationship Id="rId18" Type="http://schemas.openxmlformats.org/officeDocument/2006/relationships/hyperlink" Target="https://www.bing.com/images/search?form=xlimg&amp;q=Spain" TargetMode="External"/><Relationship Id="rId26" Type="http://schemas.openxmlformats.org/officeDocument/2006/relationships/hyperlink" Target="https://www.bing.com/images/search?form=xlimg&amp;q=lisbon+portugal" TargetMode="External"/><Relationship Id="rId3" Type="http://schemas.openxmlformats.org/officeDocument/2006/relationships/hyperlink" Target="https://www.bing.com/th?id=OSK.7487d6d3014a9e8ad8bb657206599336&amp;qlt=95" TargetMode="External"/><Relationship Id="rId21" Type="http://schemas.openxmlformats.org/officeDocument/2006/relationships/hyperlink" Target="https://www.bing.com/th?id=AMMS_08d2869d43a589e2a364e67dfd999853&amp;qlt=95" TargetMode="External"/><Relationship Id="rId7" Type="http://schemas.openxmlformats.org/officeDocument/2006/relationships/hyperlink" Target="https://www.bing.com/th?id=OSK.ef499f539a8eb87bfd5aa5677d76940b&amp;qlt=95" TargetMode="External"/><Relationship Id="rId12" Type="http://schemas.openxmlformats.org/officeDocument/2006/relationships/hyperlink" Target="https://www.bing.com/images/search?form=xlimg&amp;q=Londra" TargetMode="External"/><Relationship Id="rId17" Type="http://schemas.openxmlformats.org/officeDocument/2006/relationships/hyperlink" Target="https://www.bing.com/th?id=OSK.fbb71d5e592f7fda00cf81328e03b81f&amp;qlt=95" TargetMode="External"/><Relationship Id="rId25" Type="http://schemas.openxmlformats.org/officeDocument/2006/relationships/hyperlink" Target="https://www.bing.com/th?id=AMMS_4e6ba38179bb5da098ec4c9929960d9c&amp;qlt=95" TargetMode="External"/><Relationship Id="rId2" Type="http://schemas.openxmlformats.org/officeDocument/2006/relationships/hyperlink" Target="https://www.bing.com/images/search?form=xlimg&amp;q=France" TargetMode="External"/><Relationship Id="rId16" Type="http://schemas.openxmlformats.org/officeDocument/2006/relationships/hyperlink" Target="https://www.bing.com/images/search?form=xlimg&amp;q=Lisbona" TargetMode="External"/><Relationship Id="rId20" Type="http://schemas.openxmlformats.org/officeDocument/2006/relationships/hyperlink" Target="https://www.bing.com/images/search?form=xlimg&amp;q=Madrid" TargetMode="External"/><Relationship Id="rId29" Type="http://schemas.openxmlformats.org/officeDocument/2006/relationships/hyperlink" Target="https://www.bing.com/th?id=AMMS_170e62536294e690a4ae289472616a73&amp;qlt=95" TargetMode="External"/><Relationship Id="rId1" Type="http://schemas.openxmlformats.org/officeDocument/2006/relationships/hyperlink" Target="https://www.bing.com/th?id=OSK.IJoB2IAflCzjheZJfaz5mfzEWw5jRcoWEgDQz1yU2Yk&amp;qlt=95" TargetMode="External"/><Relationship Id="rId6" Type="http://schemas.openxmlformats.org/officeDocument/2006/relationships/hyperlink" Target="https://www.bing.com/images/search?form=xlimg&amp;q=Germany" TargetMode="External"/><Relationship Id="rId11" Type="http://schemas.openxmlformats.org/officeDocument/2006/relationships/hyperlink" Target="https://www.bing.com/th?id=OSK.03342b5a3197ef4168944e82fabbb6a4&amp;qlt=95" TargetMode="External"/><Relationship Id="rId24" Type="http://schemas.openxmlformats.org/officeDocument/2006/relationships/hyperlink" Target="https://www.bing.com/images/search?form=xlimg&amp;q=spain" TargetMode="External"/><Relationship Id="rId5" Type="http://schemas.openxmlformats.org/officeDocument/2006/relationships/hyperlink" Target="https://www.bing.com/th?id=OSK.7_iYqjXftHmThTCYlh51zbqPoNnoe4Qk7UaH59Ba1Z0&amp;qlt=95" TargetMode="External"/><Relationship Id="rId15" Type="http://schemas.openxmlformats.org/officeDocument/2006/relationships/hyperlink" Target="https://www.bing.com/th?id=OSK.eMg-iqCLPcLf5LSSM7bOh4ZQuntq6A5DgfFT_SsnBGw&amp;qlt=95" TargetMode="External"/><Relationship Id="rId23" Type="http://schemas.openxmlformats.org/officeDocument/2006/relationships/hyperlink" Target="https://www.bing.com/th?id=AMMS_c8e707cdf8c98e126f2d5dde4447d146&amp;qlt=95" TargetMode="External"/><Relationship Id="rId28" Type="http://schemas.openxmlformats.org/officeDocument/2006/relationships/hyperlink" Target="https://www.bing.com/images/search?form=xlimg&amp;q=portugal" TargetMode="External"/><Relationship Id="rId10" Type="http://schemas.openxmlformats.org/officeDocument/2006/relationships/hyperlink" Target="https://www.bing.com/images/search?form=xlimg&amp;q=England" TargetMode="External"/><Relationship Id="rId19" Type="http://schemas.openxmlformats.org/officeDocument/2006/relationships/hyperlink" Target="https://www.bing.com/th?id=OSK.f920d9410176f44609d2605c84a6480a&amp;qlt=95" TargetMode="External"/><Relationship Id="rId4" Type="http://schemas.openxmlformats.org/officeDocument/2006/relationships/hyperlink" Target="https://www.bing.com/images/search?form=xlimg&amp;q=Parigi" TargetMode="External"/><Relationship Id="rId9" Type="http://schemas.openxmlformats.org/officeDocument/2006/relationships/hyperlink" Target="https://www.bing.com/th?id=OSK.82d7640f570dd6409aeb195dcbc39faf&amp;qlt=95" TargetMode="External"/><Relationship Id="rId14" Type="http://schemas.openxmlformats.org/officeDocument/2006/relationships/hyperlink" Target="https://www.bing.com/images/search?form=xlimg&amp;q=Portugal" TargetMode="External"/><Relationship Id="rId22" Type="http://schemas.openxmlformats.org/officeDocument/2006/relationships/hyperlink" Target="https://www.bing.com/images/search?form=xlimg&amp;q=united+kingdom" TargetMode="External"/><Relationship Id="rId27" Type="http://schemas.openxmlformats.org/officeDocument/2006/relationships/hyperlink" Target="https://www.bing.com/th?id=AMMS_83f899973a13a6bc332ec9f56c3f6816&amp;qlt=95" TargetMode="External"/><Relationship Id="rId30" Type="http://schemas.openxmlformats.org/officeDocument/2006/relationships/hyperlink" Target="https://www.bing.com/images/search?form=xlimg&amp;q=germany"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56">
  <a r="2">
    <v t="r">7</v>
    <v t="r">8</v>
  </a>
  <a r="1">
    <v t="s">Central European Time</v>
  </a>
  <a r="1">
    <v t="s">French language</v>
  </a>
  <a r="25">
    <v t="r">38</v>
    <v t="r">39</v>
    <v t="r">40</v>
    <v t="r">41</v>
    <v t="r">42</v>
    <v t="r">43</v>
    <v t="r">44</v>
    <v t="r">45</v>
    <v t="r">46</v>
    <v t="r">47</v>
    <v t="r">48</v>
    <v t="r">49</v>
    <v t="r">50</v>
    <v t="r">51</v>
    <v t="r">52</v>
    <v t="r">53</v>
    <v t="r">54</v>
    <v t="r">55</v>
    <v t="r">56</v>
    <v t="r">57</v>
    <v t="r">58</v>
    <v t="r">59</v>
    <v t="r">60</v>
    <v t="r">61</v>
    <v t="r">62</v>
  </a>
  <a r="1">
    <v t="r">71</v>
  </a>
  <a r="2">
    <v t="s">UTC+2</v>
    <v t="s">UTC+1</v>
  </a>
  <a r="2">
    <v t="r">88</v>
    <v t="r">89</v>
  </a>
  <a r="2">
    <v t="s">UTC+02:00</v>
    <v t="s">UTC+01:00</v>
  </a>
  <a r="1">
    <v t="s">German language</v>
  </a>
  <a r="15">
    <v t="r">118</v>
    <v t="r">119</v>
    <v t="r">86</v>
    <v t="r">120</v>
    <v t="r">121</v>
    <v t="r">122</v>
    <v t="r">123</v>
    <v t="r">124</v>
    <v t="r">125</v>
    <v t="r">126</v>
    <v t="r">127</v>
    <v t="r">128</v>
    <v t="r">129</v>
    <v t="r">130</v>
    <v t="r">131</v>
  </a>
  <a r="1">
    <v t="r">140</v>
  </a>
  <a r="1">
    <v t="s">Lingua tedesca</v>
  </a>
  <a r="1">
    <v t="r">153</v>
  </a>
  <a r="2">
    <v t="s">Greenwich Mean Time</v>
    <v t="s">Western European Time</v>
  </a>
  <a r="1">
    <v t="s">English language</v>
  </a>
  <a r="1">
    <v t="r">166</v>
  </a>
  <a r="1">
    <v t="s">Ora media di Greenwich</v>
  </a>
  <a r="3">
    <v t="r">183</v>
    <v t="r">184</v>
    <v t="r">185</v>
  </a>
  <a r="2">
    <v t="s">Western European Summer Time</v>
    <v t="s">Western European Time</v>
  </a>
  <a r="1">
    <v t="s">Portuguese language</v>
  </a>
  <a r="20">
    <v t="r">213</v>
    <v t="r">214</v>
    <v t="r">215</v>
    <v t="r">216</v>
    <v t="r">217</v>
    <v t="r">218</v>
    <v t="r">219</v>
    <v t="r">220</v>
    <v t="r">221</v>
    <v t="r">222</v>
    <v t="r">223</v>
    <v t="r">224</v>
    <v t="r">225</v>
    <v t="r">226</v>
    <v t="r">227</v>
    <v t="r">228</v>
    <v t="r">229</v>
    <v t="r">230</v>
    <v t="r">231</v>
    <v t="r">232</v>
  </a>
  <a r="2">
    <v t="r">253</v>
    <v t="r">254</v>
  </a>
  <a r="1">
    <v t="s">Spanish language</v>
  </a>
  <a r="18">
    <v t="r">283</v>
    <v t="r">284</v>
    <v t="r">285</v>
    <v t="r">286</v>
    <v t="r">287</v>
    <v t="r">288</v>
    <v t="r">289</v>
    <v t="r">290</v>
    <v t="r">291</v>
    <v t="r">292</v>
    <v t="r">293</v>
    <v t="r">294</v>
    <v t="r">295</v>
    <v t="r">296</v>
    <v t="r">297</v>
    <v t="r">298</v>
    <v t="r">299</v>
    <v t="r">300</v>
  </a>
  <a r="1">
    <v t="r">309</v>
  </a>
  <a r="1">
    <v t="r">327</v>
  </a>
  <a r="2">
    <v t="s">British Summer Time</v>
    <v t="s">Greenwich Mean Time Zone</v>
  </a>
  <a r="4">
    <v t="r">352</v>
    <v t="r">353</v>
    <v t="r">354</v>
    <v t="r">355</v>
  </a>
  <a r="1">
    <v t="s">English</v>
  </a>
  <a r="150">
    <v t="r">373</v>
    <v t="r">374</v>
    <v t="r">375</v>
    <v t="r">323</v>
    <v t="r">376</v>
    <v t="r">377</v>
    <v t="r">378</v>
    <v t="r">379</v>
    <v t="r">380</v>
    <v t="r">381</v>
    <v t="r">382</v>
    <v t="r">383</v>
    <v t="r">384</v>
    <v t="r">385</v>
    <v t="r">386</v>
    <v t="r">387</v>
    <v t="r">388</v>
    <v t="r">389</v>
    <v t="r">390</v>
    <v t="r">391</v>
    <v t="r">392</v>
    <v t="r">393</v>
    <v t="r">394</v>
    <v t="r">395</v>
    <v t="r">396</v>
    <v t="r">397</v>
    <v t="r">398</v>
    <v t="r">399</v>
    <v t="r">400</v>
    <v t="r">401</v>
    <v t="r">402</v>
    <v t="r">403</v>
    <v t="r">404</v>
    <v t="r">405</v>
    <v t="r">406</v>
    <v t="r">407</v>
    <v t="r">408</v>
    <v t="r">409</v>
    <v t="r">410</v>
    <v t="r">411</v>
    <v t="r">412</v>
    <v t="r">413</v>
    <v t="r">414</v>
    <v t="r">415</v>
    <v t="r">416</v>
    <v t="r">417</v>
    <v t="r">418</v>
    <v t="r">419</v>
    <v t="r">420</v>
    <v t="r">421</v>
    <v t="r">422</v>
    <v t="r">423</v>
    <v t="r">424</v>
    <v t="r">425</v>
    <v t="r">426</v>
    <v t="r">427</v>
    <v t="r">428</v>
    <v t="r">429</v>
    <v t="r">430</v>
    <v t="r">431</v>
    <v t="r">432</v>
    <v t="r">433</v>
    <v t="r">434</v>
    <v t="r">435</v>
    <v t="r">436</v>
    <v t="r">437</v>
    <v t="r">438</v>
    <v t="r">439</v>
    <v t="r">440</v>
    <v t="r">441</v>
    <v t="r">442</v>
    <v t="r">443</v>
    <v t="r">444</v>
    <v t="r">445</v>
    <v t="r">446</v>
    <v t="r">447</v>
    <v t="r">448</v>
    <v t="r">449</v>
    <v t="r">450</v>
    <v t="r">451</v>
    <v t="r">452</v>
    <v t="r">453</v>
    <v t="r">454</v>
    <v t="r">455</v>
    <v t="r">456</v>
    <v t="r">457</v>
    <v t="r">458</v>
    <v t="r">459</v>
    <v t="r">460</v>
    <v t="r">461</v>
    <v t="r">462</v>
    <v t="r">463</v>
    <v t="r">464</v>
    <v t="r">465</v>
    <v t="r">466</v>
    <v t="r">467</v>
    <v t="r">468</v>
    <v t="r">469</v>
    <v t="r">470</v>
    <v t="r">471</v>
    <v t="r">472</v>
    <v t="r">473</v>
    <v t="r">474</v>
    <v t="r">475</v>
    <v t="r">476</v>
    <v t="r">477</v>
    <v t="r">478</v>
    <v t="r">479</v>
    <v t="r">480</v>
    <v t="r">481</v>
    <v t="r">482</v>
    <v t="r">483</v>
    <v t="r">484</v>
    <v t="r">485</v>
    <v t="r">486</v>
    <v t="r">487</v>
    <v t="s">Metropolitan Borough of Knowsley</v>
    <v t="r">488</v>
    <v t="s">Metropolitan Borough of Wirral</v>
    <v t="r">489</v>
    <v t="r">490</v>
    <v t="r">491</v>
    <v t="r">492</v>
    <v t="r">493</v>
    <v t="r">494</v>
    <v t="r">495</v>
    <v t="r">496</v>
    <v t="r">497</v>
    <v t="r">498</v>
    <v t="r">499</v>
    <v t="r">500</v>
    <v t="r">501</v>
    <v t="r">502</v>
    <v t="r">503</v>
    <v t="r">504</v>
    <v t="r">505</v>
    <v t="r">506</v>
    <v t="r">507</v>
    <v t="r">508</v>
    <v t="r">509</v>
    <v t="s">Outer Hebrides</v>
    <v t="r">510</v>
    <v t="r">511</v>
    <v t="r">512</v>
    <v t="r">513</v>
    <v t="r">514</v>
    <v t="r">515</v>
    <v t="r">516</v>
    <v t="r">517</v>
    <v t="r">518</v>
  </a>
  <a r="3">
    <v t="s">British Summer Time</v>
    <v t="s">Greenwich Mean Time Zone</v>
    <v t="s">Western European Time Zone</v>
  </a>
  <a r="2">
    <v t="s">José Luis Martínez-Almeida (Mayor)</v>
    <v t="r">531</v>
  </a>
  <a r="1">
    <v t="s">Central European Time Zone</v>
  </a>
  <a r="3">
    <v t="r">540</v>
    <v t="r">541</v>
    <v t="r">542</v>
  </a>
  <a r="1">
    <v t="s">Spanish</v>
  </a>
  <a r="59">
    <v t="r">548</v>
    <v t="r">549</v>
    <v t="r">550</v>
    <v t="r">551</v>
    <v t="r">527</v>
    <v t="r">552</v>
    <v t="r">553</v>
    <v t="r">554</v>
    <v t="r">555</v>
    <v t="r">556</v>
    <v t="r">557</v>
    <v t="r">558</v>
    <v t="r">559</v>
    <v t="r">560</v>
    <v t="r">561</v>
    <v t="r">562</v>
    <v t="r">563</v>
    <v t="r">564</v>
    <v t="r">565</v>
    <v t="s">Province of Cádiz</v>
    <v t="r">566</v>
    <v t="r">567</v>
    <v t="r">568</v>
    <v t="r">569</v>
    <v t="r">570</v>
    <v t="r">571</v>
    <v t="s">Province of Seville</v>
    <v t="s">Province of Granada</v>
    <v t="s">Province of Valladolid</v>
    <v t="r">572</v>
    <v t="r">573</v>
    <v t="s">Province of Segovia</v>
    <v t="r">574</v>
    <v t="s">Province of Palencia</v>
    <v t="r">575</v>
    <v t="r">576</v>
    <v t="r">577</v>
    <v t="r">578</v>
    <v t="r">579</v>
    <v t="r">580</v>
    <v t="r">581</v>
    <v t="r">582</v>
    <v t="s">Province of Jaén</v>
    <v t="r">583</v>
    <v t="r">584</v>
    <v t="r">585</v>
    <v t="r">586</v>
    <v t="r">587</v>
    <v t="s">Province of Burgos</v>
    <v t="s">Province of Málaga</v>
    <v t="r">588</v>
    <v t="s">Province of Huesca</v>
    <v t="s">Province of Soria</v>
    <v t="s">Province of Zamora</v>
    <v t="s">Province of Ciudad Real</v>
    <v t="s">Province of Teruel</v>
    <v t="s">Province of Guadalajara</v>
    <v t="r">589</v>
    <v t="s">Province of Las Palmas</v>
  </a>
  <a r="2">
    <v t="s">Central European Time Zone</v>
    <v t="s">Western European Time Zone</v>
  </a>
  <a r="2">
    <v t="s">Greenwich Mean Time Zone</v>
    <v t="s">Western European Time Zone</v>
  </a>
  <a r="2">
    <v t="r">603</v>
    <v t="r">604</v>
  </a>
  <a r="1">
    <v t="s">Portuguese</v>
  </a>
  <a r="20">
    <v t="r">610</v>
    <v t="r">594</v>
    <v t="r">611</v>
    <v t="r">612</v>
    <v t="r">613</v>
    <v t="r">614</v>
    <v t="r">615</v>
    <v t="r">616</v>
    <v t="r">617</v>
    <v t="r">618</v>
    <v t="r">619</v>
    <v t="r">620</v>
    <v t="r">621</v>
    <v t="r">622</v>
    <v t="r">623</v>
    <v t="r">624</v>
    <v t="r">625</v>
    <v t="r">626</v>
    <v t="r">627</v>
    <v t="r">628</v>
  </a>
  <a r="1">
    <v t="s">Western European Time Zone</v>
  </a>
  <a r="1">
    <v t="r">635</v>
  </a>
  <a r="3">
    <v t="s">Central European Summer Time</v>
    <v t="s">Central European Time Zone</v>
    <v t="s">W. Europe Standard Time</v>
  </a>
  <a r="4">
    <v t="r">643</v>
    <v t="r">644</v>
    <v t="r">645</v>
    <v t="r">645</v>
  </a>
  <a r="1">
    <v t="s">German</v>
  </a>
  <a r="16">
    <v t="r">651</v>
    <v t="r">632</v>
    <v t="r">652</v>
    <v t="r">653</v>
    <v t="r">654</v>
    <v t="r">655</v>
    <v t="s">Thuringia</v>
    <v t="r">656</v>
    <v t="r">657</v>
    <v t="r">658</v>
    <v t="r">659</v>
    <v t="r">660</v>
    <v t="r">661</v>
    <v t="r">662</v>
    <v t="r">663</v>
    <v t="r">664</v>
  </a>
  <a r="2">
    <v t="s">Central European Summer Time</v>
    <v t="s">Central European Time Zone</v>
  </a>
  <a r="1">
    <v t="r">672</v>
  </a>
  <a r="7">
    <v t="r">678</v>
    <v t="r">679</v>
    <v t="r">680</v>
    <v t="s">Jean Castex (Prime Minister)</v>
    <v t="r">681</v>
    <v t="r">682</v>
    <v t="r">683</v>
  </a>
  <a r="1">
    <v t="s">French</v>
  </a>
  <a r="132">
    <v t="r">689</v>
    <v t="r">668</v>
    <v t="r">690</v>
    <v t="s">Alsace</v>
    <v t="r">691</v>
    <v t="r">692</v>
    <v t="s">Brittany</v>
    <v t="s">Lorraine</v>
    <v t="r">693</v>
    <v t="r">694</v>
    <v t="r">695</v>
    <v t="r">696</v>
    <v t="r">697</v>
    <v t="r">698</v>
    <v t="r">699</v>
    <v t="r">700</v>
    <v t="r">701</v>
    <v t="r">702</v>
    <v t="r">703</v>
    <v t="s">Burgundy</v>
    <v t="s">Loire</v>
    <v t="r">704</v>
    <v t="s">Poitou-Charentes</v>
    <v t="r">705</v>
    <v t="r">706</v>
    <v t="r">707</v>
    <v t="r">708</v>
    <v t="r">709</v>
    <v t="r">710</v>
    <v t="r">711</v>
    <v t="s">Picardy</v>
    <v t="r">712</v>
    <v t="s">Limousin</v>
    <v t="r">713</v>
    <v t="r">714</v>
    <v t="s">Auvergne</v>
    <v t="r">715</v>
    <v t="r">716</v>
    <v t="s">Franche-Comté</v>
    <v t="r">717</v>
    <v t="s">Rhône-Alpes</v>
    <v t="s">Midi-Pyrénées</v>
    <v t="r">718</v>
    <v t="r">719</v>
    <v t="r">720</v>
    <v t="r">721</v>
    <v t="s">Languedoc-Roussillon</v>
    <v t="s">Nord-Pas-de-Calais</v>
    <v t="r">722</v>
    <v t="s">Aquitaine</v>
    <v t="r">723</v>
    <v t="r">724</v>
    <v t="r">725</v>
    <v t="r">726</v>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v t="r">758</v>
    <v t="r">759</v>
    <v t="r">760</v>
    <v t="r">761</v>
    <v t="r">762</v>
    <v t="r">763</v>
    <v t="r">764</v>
    <v t="r">765</v>
    <v t="r">766</v>
    <v t="r">767</v>
    <v t="r">768</v>
    <v t="r">769</v>
    <v t="r">770</v>
    <v t="r">771</v>
    <v t="r">772</v>
    <v t="r">773</v>
    <v t="r">774</v>
    <v t="r">775</v>
    <v t="r">776</v>
    <v t="r">777</v>
    <v t="r">778</v>
    <v t="r">779</v>
    <v t="r">780</v>
    <v t="r">781</v>
    <v t="r">782</v>
    <v t="r">783</v>
    <v t="r">784</v>
    <v t="r">785</v>
    <v t="r">786</v>
    <v t="r">787</v>
    <v t="r">788</v>
    <v t="r">789</v>
    <v t="r">790</v>
    <v t="r">791</v>
    <v t="r">792</v>
    <v t="r">793</v>
    <v t="r">794</v>
    <v t="r">795</v>
    <v t="s">Lower Normandy</v>
    <v t="s">Upper Normandy</v>
    <v t="r">796</v>
    <v t="r">797</v>
    <v t="r">798</v>
    <v t="r">799</v>
    <v t="r">800</v>
    <v t="r">801</v>
    <v t="s">Champagne-Ardenne</v>
  </a>
  <a r="6">
    <v t="r">319</v>
    <v t="r">251</v>
    <v t="r">320</v>
    <v t="r">321</v>
    <v t="r">318</v>
    <v t="i">1</v>
  </a>
  <a r="6">
    <v t="r">150</v>
    <v t="r">246</v>
    <v t="r">176</v>
    <v t="r">81</v>
    <v t="r">0</v>
    <v t="i">1</v>
  </a>
  <a r="6">
    <v t="r">322</v>
    <v t="r">526</v>
    <v t="r">593</v>
    <v t="r">632</v>
    <v t="r">668</v>
    <v t="i">1</v>
  </a>
  <a r="6">
    <v t="r">325</v>
    <v t="r">529</v>
    <v t="r">595</v>
    <v t="r">634</v>
    <v t="r">670</v>
    <v t="i">1</v>
  </a>
</arrayData>
</file>

<file path=xl/richData/rdrichvalue.xml><?xml version="1.0" encoding="utf-8"?>
<rvData xmlns="http://schemas.microsoft.com/office/spreadsheetml/2017/richdata" count="810">
  <rv s="0">
    <v>536870912</v>
    <v>Francia</v>
    <v>c7bfe2de-4f82-e23c-ae42-8544b5b5c0ea</v>
    <v>it-IT</v>
    <v>Map</v>
  </rv>
  <rv s="1">
    <fb>0.60699999999999998</fb>
    <v>24</v>
  </rv>
  <rv s="1">
    <fb>643801</fb>
    <v>25</v>
  </rv>
  <rv s="1">
    <fb>0.31233278442262596</fb>
    <v>24</v>
  </rv>
  <rv s="1">
    <fb>82.526829268292701</fb>
    <v>26</v>
  </rv>
  <rv s="0">
    <v>536870912</v>
    <v>Paris</v>
    <v>85584d24-2116-5b98-89f9-5714db931ac6</v>
    <v>it-IT</v>
    <v>Map</v>
  </rv>
  <rv s="1">
    <fb>2365950236659.3599</fb>
    <v>27</v>
  </rv>
  <rv s="0">
    <v>805306368</v>
    <v>Emmanuel Macron (President)</v>
    <v>35be5a56-7a78-6352-b158-60da8f84c858</v>
    <v>it-IT</v>
    <v>Generic</v>
  </rv>
  <rv s="0">
    <v>805306368</v>
    <v>François Bayrou (Prime minister)</v>
    <v>901a2dc7-aad0-c6da-f219-c2d7def8acba</v>
    <v>it-IT</v>
    <v>Generic</v>
  </rv>
  <rv s="2">
    <v>0</v>
  </rv>
  <rv s="1">
    <fb>8</fb>
    <v>26</v>
  </rv>
  <rv s="1">
    <fb>46.487970872236403</fb>
    <v>26</v>
  </rv>
  <rv s="1">
    <fb>6939.5214736692897</fb>
    <v>25</v>
  </rv>
  <rv s="1">
    <fb>307000</fb>
    <v>25</v>
  </rv>
  <rv s="1">
    <fb>303275.56800000003</fb>
    <v>25</v>
  </rv>
  <rv s="1">
    <fb>0.24229980509910898</fb>
    <v>24</v>
  </rv>
  <rv s="2">
    <v>1</v>
  </rv>
  <rv s="3">
    <v>0</v>
    <v>22</v>
    <v>2</v>
    <v>7</v>
    <v>0</v>
    <v>Image of France</v>
  </rv>
  <rv s="1">
    <fb>110.04856675289</fb>
    <v>28</v>
  </rv>
  <rv s="1">
    <fb>0.65629000000000004</fb>
    <v>24</v>
  </rv>
  <rv s="1">
    <fb>1.0251076000000001</fb>
    <v>24</v>
  </rv>
  <rv s="4">
    <v>https://www.bing.com/search?q=france&amp;form=skydnc</v>
    <v>Learn more on Bing</v>
  </rv>
  <rv s="2">
    <v>2</v>
  </rv>
  <rv s="1">
    <fb>3.2671999999999999</fb>
    <v>29</v>
  </rv>
  <rv s="1">
    <fb>3.4</fb>
    <v>26</v>
  </rv>
  <rv s="1">
    <fb>2715518274227.4502</fb>
    <v>27</v>
  </rv>
  <rv s="1">
    <fb>67749632</fb>
    <v>25</v>
  </rv>
  <rv s="1">
    <fb>54123364</fb>
    <v>25</v>
  </rv>
  <rv s="1">
    <fb>0.55125999450683605</fb>
    <v>24</v>
  </rv>
  <rv s="1">
    <fb>8.1000000000000003E-2</fb>
    <v>24</v>
  </rv>
  <rv s="1">
    <fb>0.25800000000000001</fb>
    <v>24</v>
  </rv>
  <rv s="1">
    <fb>0.21899999999999997</fb>
    <v>24</v>
  </rv>
  <rv s="1">
    <fb>0.13</fb>
    <v>24</v>
  </rv>
  <rv s="1">
    <fb>0.16899999999999998</fb>
    <v>24</v>
  </rv>
  <rv s="1">
    <fb>33</fb>
    <v>30</v>
  </rv>
  <rv s="1">
    <fb>1.39</fb>
    <v>31</v>
  </rv>
  <rv s="1">
    <fb>11.16</fb>
    <v>31</v>
  </rv>
  <rv s="1">
    <fb>6.7968269799999995E-2</fb>
    <v>24</v>
  </rv>
  <rv s="0">
    <v>536870912</v>
    <v>Brittany</v>
    <v>809fb739-638d-2499-95bd-c8e5b10153ee</v>
    <v>it-IT</v>
    <v>Map</v>
  </rv>
  <rv s="0">
    <v>536870912</v>
    <v>Centre-Val de Loire</v>
    <v>6aafd8c4-aba3-0388-62a3-d302e77f40c4</v>
    <v>it-IT</v>
    <v>Map</v>
  </rv>
  <rv s="0">
    <v>536870912</v>
    <v>Corsica</v>
    <v>7dae6ff4-03ba-2162-da4b-d4cf544ad43f</v>
    <v>it-IT</v>
    <v>Map</v>
  </rv>
  <rv s="0">
    <v>536870912</v>
    <v>Île-de-France</v>
    <v>ba200862-fc37-6d22-3434-c6e709faa507</v>
    <v>it-IT</v>
    <v>Map</v>
  </rv>
  <rv s="0">
    <v>536870912</v>
    <v>Pays de la Loire</v>
    <v>a6129a88-a4cd-2b75-1a35-f5d0639f17ae</v>
    <v>it-IT</v>
    <v>Map</v>
  </rv>
  <rv s="0">
    <v>536870912</v>
    <v>Provence-Alpes-Côte d'Azur</v>
    <v>66cd1ae3-f633-45f9-93bd-73ca67bffb25</v>
    <v>it-IT</v>
    <v>Map</v>
  </rv>
  <rv s="0">
    <v>536870912</v>
    <v>Guadeloupe</v>
    <v>56b80aaa-d840-1a73-13ba-70eb9b61a642</v>
    <v>it-IT</v>
    <v>Map</v>
  </rv>
  <rv s="0">
    <v>536870912</v>
    <v>French Guiana</v>
    <v>328feb88-20d1-8674-1574-3ce8cc0bc9e9</v>
    <v>it-IT</v>
    <v>Map</v>
  </rv>
  <rv s="0">
    <v>536870912</v>
    <v>Martinique</v>
    <v>f245adef-ee09-9352-e265-2a287e5eadbe</v>
    <v>it-IT</v>
    <v>Map</v>
  </rv>
  <rv s="0">
    <v>536870912</v>
    <v>Mayotte</v>
    <v>545cc8bc-c211-076d-ee26-d2ff955eb394</v>
    <v>it-IT</v>
    <v>Map</v>
  </rv>
  <rv s="0">
    <v>536870912</v>
    <v>Réunion</v>
    <v>7d1fa0b0-e3d7-d903-d64d-489c03fd0a75</v>
    <v>it-IT</v>
    <v>Map</v>
  </rv>
  <rv s="0">
    <v>536870912</v>
    <v>French Polynesia</v>
    <v>340e15d5-6b74-8497-bbfa-4c1f323f5483</v>
    <v>it-IT</v>
    <v>Map</v>
  </rv>
  <rv s="0">
    <v>536870912</v>
    <v>French Southern and Antarctic Lands</v>
    <v>b9d52319-44ee-bf16-d95f-72397f26ce4a</v>
    <v>it-IT</v>
    <v>Map</v>
  </rv>
  <rv s="0">
    <v>536870912</v>
    <v>New Caledonia</v>
    <v>25b2aeab-b390-d01e-1f7f-90be767bd899</v>
    <v>it-IT</v>
    <v>Map</v>
  </rv>
  <rv s="0">
    <v>536870912</v>
    <v>Saint Barthélemy</v>
    <v>5c5081a9-306e-4f05-73a2-32b95a4b8600</v>
    <v>it-IT</v>
    <v>Map</v>
  </rv>
  <rv s="0">
    <v>536870912</v>
    <v>Collectivity of Saint Martin</v>
    <v>281a8fb2-1b63-4320-5d31-8f0fb46c4f1a</v>
    <v>it-IT</v>
    <v>Map</v>
  </rv>
  <rv s="0">
    <v>536870912</v>
    <v>Saint Pierre and Miquelon</v>
    <v>aa096cf4-a54e-cd44-7204-c28310ca40f4</v>
    <v>it-IT</v>
    <v>Map</v>
  </rv>
  <rv s="0">
    <v>536870912</v>
    <v>Wallis and Futuna</v>
    <v>db8aa235-58e4-9e3d-8799-6839f3d35025</v>
    <v>it-IT</v>
    <v>Map</v>
  </rv>
  <rv s="0">
    <v>536870912</v>
    <v>Grand Est</v>
    <v>e2f60e84-1701-6d84-e960-ba87138e3631</v>
    <v>it-IT</v>
    <v>Map</v>
  </rv>
  <rv s="0">
    <v>536870912</v>
    <v>Nouvelle-Aquitaine</v>
    <v>7955f423-af31-d2e0-f045-b14668178865</v>
    <v>it-IT</v>
    <v>Map</v>
  </rv>
  <rv s="0">
    <v>536870912</v>
    <v>Auvergne-Rhône-Alpes</v>
    <v>b53940d0-b739-faf5-78d1-93f189f878c9</v>
    <v>it-IT</v>
    <v>Map</v>
  </rv>
  <rv s="0">
    <v>536870912</v>
    <v>Bourgogne-Franche-Comté</v>
    <v>4bc8dff1-8d72-5341-f405-63c7be8c6672</v>
    <v>it-IT</v>
    <v>Map</v>
  </rv>
  <rv s="0">
    <v>536870912</v>
    <v>Occitania</v>
    <v>5105d172-dc70-689f-09ab-4163a747508a</v>
    <v>it-IT</v>
    <v>Map</v>
  </rv>
  <rv s="0">
    <v>536870912</v>
    <v>Hauts-de-France</v>
    <v>4eb2d0b0-8845-48d0-9343-9ba3e7fe81a0</v>
    <v>it-IT</v>
    <v>Map</v>
  </rv>
  <rv s="0">
    <v>536870912</v>
    <v>Clipperton Island</v>
    <v>15fb63fc-f501-7360-7d44-f26d1501209e</v>
    <v>it-IT</v>
    <v>Map</v>
  </rv>
  <rv s="2">
    <v>3</v>
  </rv>
  <rv s="1">
    <fb>8.4270000457763714E-2</fb>
    <v>32</v>
  </rv>
  <rv s="1">
    <fb>1.88</fb>
    <v>29</v>
  </rv>
  <rv s="1">
    <fb>11.3</fb>
    <v>29</v>
  </rv>
  <rv s="1">
    <fb>0.524475441661716</fb>
    <v>24</v>
  </rv>
  <rv s="1">
    <fb>1.1082549228829199E-2</fb>
    <v>24</v>
  </rv>
  <rv s="5">
    <v>#VALUE!</v>
    <v>it-IT</v>
    <v>c7bfe2de-4f82-e23c-ae42-8544b5b5c0ea</v>
    <v>536870912</v>
    <v>1</v>
    <v>16</v>
    <v>17</v>
    <v>18</v>
    <v>France</v>
    <v>20</v>
    <v>21</v>
    <v>Map</v>
    <v>22</v>
    <v>23</v>
    <v>FR</v>
    <v>1</v>
    <v>2</v>
    <v>3</v>
    <v>4</v>
    <v>5</v>
    <v>6</v>
    <v>9</v>
    <v>EUR</v>
    <v>10</v>
    <v>11</v>
    <v>12</v>
    <v>France, officially the French Republic, is a country located primarily in Western Europe. Its overseas regions and territories include French Guiana in South America, Saint Pierre and Miquelon in the North Atlantic, the French West Indies, and ...</v>
    <v>13</v>
    <v>14</v>
    <v>15</v>
    <v>16</v>
    <v>17</v>
    <v>La Marseillaise</v>
    <v>18</v>
    <v>19</v>
    <v>20</v>
    <v>5</v>
    <v>21</v>
    <v>22</v>
    <v>23</v>
    <v>24</v>
    <v>France</v>
    <v>République française</v>
    <v>25</v>
    <v>26</v>
    <v>27</v>
    <v>28</v>
    <v>29</v>
    <v>30</v>
    <v>31</v>
    <v>32</v>
    <v>33</v>
    <v>34</v>
    <v>35</v>
    <v>36</v>
    <v>37</v>
    <v>63</v>
    <v>64</v>
    <v>65</v>
    <v>66</v>
    <v>67</v>
    <v>France</v>
    <v>68</v>
    <v>mdp/vdpid/84</v>
  </rv>
  <rv s="1">
    <fb>105.4</fb>
    <v>25</v>
  </rv>
  <rv s="0">
    <v>805306368</v>
    <v>Anne Hidalgo (Sindaco)</v>
    <v>f26212ed-b25d-e4f8-ecf0-85777b9d38cf</v>
    <v>it-IT</v>
    <v>Generic</v>
  </rv>
  <rv s="2">
    <v>4</v>
  </rv>
  <rv s="0">
    <v>536870912</v>
    <v>Francia metropolitana</v>
    <v>a50a7b3c-58a6-b52d-98d1-10a1a763403b</v>
    <v>it-IT</v>
    <v>Map</v>
  </rv>
  <rv s="2">
    <v>5</v>
  </rv>
  <rv s="3">
    <v>1</v>
    <v>22</v>
    <v>33</v>
    <v>7</v>
    <v>0</v>
    <v>Image of Parigi</v>
  </rv>
  <rv s="1">
    <fb>48.856666666666698</fb>
    <v>38</v>
  </rv>
  <rv s="4">
    <v>https://www.bing.com/search?q=Parigi&amp;form=skydnc</v>
    <v>Scopri di più con Bing</v>
  </rv>
  <rv s="1">
    <fb>2.35222222222222</fb>
    <v>38</v>
  </rv>
  <rv s="1">
    <fb>2048472</fb>
    <v>25</v>
  </rv>
  <rv s="6">
    <v>#VALUE!</v>
    <v>it-IT</v>
    <v>85584d24-2116-5b98-89f9-5714db931ac6</v>
    <v>536870912</v>
    <v>1</v>
    <v>34</v>
    <v>35</v>
    <v>36</v>
    <v>Parigi</v>
    <v>20</v>
    <v>21</v>
    <v>Map</v>
    <v>22</v>
    <v>37</v>
    <v>70</v>
    <v>72</v>
    <v>Parigi è la capitale e la città più popolata della Francia, capoluogo della regione dell'Île-de-France e l'unico comune a essere nello stesso tempo dipartimento, secondo la riforma del 1977 e i dettami della legge PML che espansero i vecchi ...</v>
    <v>73</v>
    <v>41</v>
    <v>74</v>
    <v>75</v>
    <v>76</v>
    <v>77</v>
    <v>78</v>
    <v>Parigi</v>
    <v>0</v>
    <v>79</v>
    <v>Parigi</v>
    <v>mdp/vdpid/7012570570818584578</v>
  </rv>
  <rv s="0">
    <v>536870912</v>
    <v>Germania</v>
    <v>75c62d8e-1449-4e4d-b188-d9e88f878dd9</v>
    <v>it-IT</v>
    <v>Map</v>
  </rv>
  <rv s="1">
    <fb>0.48799999999999999</fb>
    <v>24</v>
  </rv>
  <rv s="1">
    <fb>357587.77</fb>
    <v>25</v>
  </rv>
  <rv s="1">
    <fb>0.326912067781085</fb>
    <v>24</v>
  </rv>
  <rv s="1">
    <fb>80.892682926829295</fb>
    <v>26</v>
  </rv>
  <rv s="0">
    <v>536870912</v>
    <v>Berlin</v>
    <v>42784943-7c23-7672-5527-06f89b965cdf</v>
    <v>it-IT</v>
    <v>Map</v>
  </rv>
  <rv s="1">
    <fb>2098173930000</fb>
    <v>27</v>
  </rv>
  <rv s="0">
    <v>805306368</v>
    <v>Frank-Walter Steinmeier (President)</v>
    <v>a6d595f9-116c-57de-2b35-48e9bde9f83d</v>
    <v>it-IT</v>
    <v>Generic</v>
  </rv>
  <rv s="0">
    <v>805306368</v>
    <v>Olaf Scholz (Chancellor)</v>
    <v>d327207b-5560-1fae-17a8-4bc95203ea8e</v>
    <v>it-IT</v>
    <v>Generic</v>
  </rv>
  <rv s="2">
    <v>6</v>
  </rv>
  <rv s="1">
    <fb>7</fb>
    <v>26</v>
  </rv>
  <rv s="1">
    <fb>78.862551056754995</fb>
    <v>26</v>
  </rv>
  <rv s="1">
    <fb>7035.4829747167596</fb>
    <v>25</v>
  </rv>
  <rv s="1">
    <fb>180000</fb>
    <v>25</v>
  </rv>
  <rv s="1">
    <fb>727972.84</fb>
    <v>25</v>
  </rv>
  <rv s="1">
    <fb>0.11505903952014901</fb>
    <v>24</v>
  </rv>
  <rv s="2">
    <v>7</v>
  </rv>
  <rv s="3">
    <v>2</v>
    <v>22</v>
    <v>40</v>
    <v>7</v>
    <v>0</v>
    <v>Image of Germany</v>
  </rv>
  <rv s="1">
    <fb>112.854887342124</fb>
    <v>28</v>
  </rv>
  <rv s="1">
    <fb>0.70246649999999999</fb>
    <v>24</v>
  </rv>
  <rv s="1">
    <fb>1.0402236</fb>
    <v>24</v>
  </rv>
  <rv s="4">
    <v>https://www.bing.com/search?q=germany&amp;form=skydnc</v>
    <v>Learn more on Bing</v>
  </rv>
  <rv s="2">
    <v>8</v>
  </rv>
  <rv s="1">
    <fb>4.2488000000000001</fb>
    <v>29</v>
  </rv>
  <rv s="1">
    <fb>3.1</fb>
    <v>26</v>
  </rv>
  <rv s="1">
    <fb>3845630030823.52</fb>
    <v>27</v>
  </rv>
  <rv s="1">
    <fb>84079811</fb>
    <v>25</v>
  </rv>
  <rv s="1">
    <fb>64324835</fb>
    <v>25</v>
  </rv>
  <rv s="1">
    <fb>0.60811000823974604</fb>
    <v>24</v>
  </rv>
  <rv s="1">
    <fb>7.5999999999999998E-2</fb>
    <v>24</v>
  </rv>
  <rv s="1">
    <fb>0.24600000000000002</fb>
    <v>24</v>
  </rv>
  <rv s="1">
    <fb>0.22800000000000001</fb>
    <v>24</v>
  </rv>
  <rv s="1">
    <fb>0.128</fb>
    <v>24</v>
  </rv>
  <rv s="1">
    <fb>0.17100000000000001</fb>
    <v>24</v>
  </rv>
  <rv s="1">
    <fb>49</fb>
    <v>30</v>
  </rv>
  <rv s="1">
    <fb>9.99</fb>
    <v>31</v>
  </rv>
  <rv s="1">
    <fb>0.12528421940000001</fb>
    <v>24</v>
  </rv>
  <rv s="0">
    <v>536870912</v>
    <v>Baden-Württemberg</v>
    <v>e4767d1d-15fd-a8bd-1fcd-f8214d3c189f</v>
    <v>it-IT</v>
    <v>Map</v>
  </rv>
  <rv s="0">
    <v>536870912</v>
    <v>Bavaria</v>
    <v>e4f7e69f-e1bc-189a-d23d-b2ecee6a88d5</v>
    <v>it-IT</v>
    <v>Map</v>
  </rv>
  <rv s="0">
    <v>536870912</v>
    <v>Bremen</v>
    <v>70a6262d-6ded-6a1a-8a3d-e24538d50a05</v>
    <v>it-IT</v>
    <v>Map</v>
  </rv>
  <rv s="0">
    <v>536870912</v>
    <v>Hamburg</v>
    <v>0937ec8c-54f7-94c7-d7b8-0ea8c6cfce6f</v>
    <v>it-IT</v>
    <v>Map</v>
  </rv>
  <rv s="0">
    <v>536870912</v>
    <v>Mecklenburg-Vorpommern</v>
    <v>b0adc1b4-6fe2-3ad0-81e1-78c9ba53cedb</v>
    <v>it-IT</v>
    <v>Map</v>
  </rv>
  <rv s="0">
    <v>536870912</v>
    <v>Lower Saxony</v>
    <v>c91589e2-9db8-e9f2-b60d-1000c3502bc2</v>
    <v>it-IT</v>
    <v>Map</v>
  </rv>
  <rv s="0">
    <v>536870912</v>
    <v>North Rhine-Westphalia</v>
    <v>7192ac29-308b-9018-2da7-1d16b5afb233</v>
    <v>it-IT</v>
    <v>Map</v>
  </rv>
  <rv s="0">
    <v>536870912</v>
    <v>Rhineland-Palatinate</v>
    <v>b2634da1-26f3-4709-d63d-9f9489a33d9c</v>
    <v>it-IT</v>
    <v>Map</v>
  </rv>
  <rv s="0">
    <v>536870912</v>
    <v>Saarland</v>
    <v>077b3058-0078-d492-aee0-52b8d21ee39e</v>
    <v>it-IT</v>
    <v>Map</v>
  </rv>
  <rv s="0">
    <v>536870912</v>
    <v>Saxony</v>
    <v>db04ed86-d227-952f-dbae-2881e92d2d0a</v>
    <v>it-IT</v>
    <v>Map</v>
  </rv>
  <rv s="0">
    <v>536870912</v>
    <v>Saxony-Anhalt</v>
    <v>6af91c75-020d-7d63-0e2d-ab73f9f73280</v>
    <v>it-IT</v>
    <v>Map</v>
  </rv>
  <rv s="0">
    <v>536870912</v>
    <v>Schleswig-Holstein</v>
    <v>6dde426c-96c7-18bd-f4e1-b41b7575557a</v>
    <v>it-IT</v>
    <v>Map</v>
  </rv>
  <rv s="0">
    <v>536870912</v>
    <v>Brandenburg</v>
    <v>c841173c-24ae-1249-8be1-c2ff2ec02111</v>
    <v>it-IT</v>
    <v>Map</v>
  </rv>
  <rv s="0">
    <v>536870912</v>
    <v>Hesse</v>
    <v>90fbe078-3753-40db-ff12-40aa58e76c5f</v>
    <v>it-IT</v>
    <v>Map</v>
  </rv>
  <rv s="2">
    <v>9</v>
  </rv>
  <rv s="1">
    <fb>3.0429999828338602E-2</fb>
    <v>32</v>
  </rv>
  <rv s="1">
    <fb>1.56</fb>
    <v>29</v>
  </rv>
  <rv s="1">
    <fb>9.5</fb>
    <v>29</v>
  </rv>
  <rv s="1">
    <fb>0.47678612319670299</fb>
    <v>24</v>
  </rv>
  <rv s="1">
    <fb>1.4456670146976E-2</fb>
    <v>24</v>
  </rv>
  <rv s="5">
    <v>#VALUE!</v>
    <v>it-IT</v>
    <v>75c62d8e-1449-4e4d-b188-d9e88f878dd9</v>
    <v>536870912</v>
    <v>1</v>
    <v>43</v>
    <v>17</v>
    <v>18</v>
    <v>Germany</v>
    <v>20</v>
    <v>21</v>
    <v>Map</v>
    <v>22</v>
    <v>44</v>
    <v>DE</v>
    <v>82</v>
    <v>83</v>
    <v>84</v>
    <v>85</v>
    <v>86</v>
    <v>87</v>
    <v>90</v>
    <v>EUR</v>
    <v>91</v>
    <v>92</v>
    <v>93</v>
    <v>Germany, officially the Federal Republic of Germany, is a country in Central Europe. It lies between the Baltic and North Sea to the north and the Alps to the south. Its sixteen constituent states have a total population of over 82 million in an ...</v>
    <v>94</v>
    <v>95</v>
    <v>96</v>
    <v>97</v>
    <v>98</v>
    <v>National Anthem of Germany</v>
    <v>99</v>
    <v>100</v>
    <v>101</v>
    <v>86</v>
    <v>102</v>
    <v>103</v>
    <v>104</v>
    <v>105</v>
    <v>Germany</v>
    <v>Bundesrepublik Deutschland</v>
    <v>106</v>
    <v>107</v>
    <v>108</v>
    <v>109</v>
    <v>110</v>
    <v>111</v>
    <v>112</v>
    <v>113</v>
    <v>114</v>
    <v>115</v>
    <v>35</v>
    <v>116</v>
    <v>117</v>
    <v>132</v>
    <v>133</v>
    <v>134</v>
    <v>135</v>
    <v>136</v>
    <v>Germany</v>
    <v>137</v>
    <v>mdp/vdpid/94</v>
  </rv>
  <rv s="1">
    <fb>891.12</fb>
    <v>25</v>
  </rv>
  <rv s="0">
    <v>805306368</v>
    <v>Franziska Giffey (Sindaco)</v>
    <v>0f36a115-cd69-74b0-1ad8-5ee6074d7916</v>
    <v>it-IT</v>
    <v>Generic</v>
  </rv>
  <rv s="2">
    <v>10</v>
  </rv>
  <rv s="3">
    <v>3</v>
    <v>22</v>
    <v>45</v>
    <v>7</v>
    <v>0</v>
    <v>Image of Berlino</v>
  </rv>
  <rv s="4">
    <v>https://www.bing.com/search?q=Berlino&amp;form=skydnc</v>
    <v>Scopri di più con Bing</v>
  </rv>
  <rv s="2">
    <v>11</v>
  </rv>
  <rv s="1">
    <fb>1794936</fb>
    <v>25</v>
  </rv>
  <rv s="1">
    <fb>1.83</fb>
    <v>29</v>
  </rv>
  <rv s="1">
    <fb>3755251</fb>
    <v>25</v>
  </rv>
  <rv s="1">
    <fb>1868905</fb>
    <v>25</v>
  </rv>
  <rv s="7">
    <v>#VALUE!</v>
    <v>it-IT</v>
    <v>42784943-7c23-7672-5527-06f89b965cdf</v>
    <v>536870912</v>
    <v>1</v>
    <v>48</v>
    <v>49</v>
    <v>50</v>
    <v>Berlino</v>
    <v>20</v>
    <v>21</v>
    <v>Map</v>
    <v>22</v>
    <v>51</v>
    <v>DE-BE</v>
    <v>139</v>
    <v>141</v>
    <v>Berlino è la capitale e maggiore città della Germania. Città-land e sede del governo tedesco, è uno dei più importanti centri politici, culturali, scientifici, fieristici, economici, commerciali e mediatici del mondo, ed è anche il comune più ...</v>
    <v>142</v>
    <v>143</v>
    <v>144</v>
    <v>Berlino</v>
    <v>145</v>
    <v>81</v>
    <v>146</v>
    <v>147</v>
    <v>Berlino</v>
    <v>148</v>
    <v>mdp/vdpid/7017957146650214401</v>
  </rv>
  <rv s="0">
    <v>536870912</v>
    <v>Inghilterra</v>
    <v>280d39e8-7217-6863-6980-a8c20c211c89</v>
    <v>it-IT</v>
    <v>Map</v>
  </rv>
  <rv s="1">
    <fb>130278</fb>
    <v>25</v>
  </rv>
  <rv s="0">
    <v>536870912</v>
    <v>London</v>
    <v>8e0ba7b6-4225-fa8a-6369-1b5294e602a5</v>
    <v>it-IT</v>
    <v>Map</v>
  </rv>
  <rv s="0">
    <v>805306368</v>
    <v>Charles III (Monarch)</v>
    <v>afc6f6a9-5b55-9178-3e6f-2c8b6d16ee9c</v>
    <v>it-IT</v>
    <v>Generic</v>
  </rv>
  <rv s="2">
    <v>12</v>
  </rv>
  <rv s="2">
    <v>13</v>
  </rv>
  <rv s="3">
    <v>4</v>
    <v>22</v>
    <v>52</v>
    <v>7</v>
    <v>0</v>
    <v>Image of England</v>
  </rv>
  <rv s="4">
    <v>https://www.bing.com/search?q=england&amp;form=skydnc</v>
    <v>Learn more on Bing</v>
  </rv>
  <rv s="2">
    <v>14</v>
  </rv>
  <rv s="1">
    <fb>22063368</fb>
    <v>25</v>
  </rv>
  <rv s="0">
    <v>536870912</v>
    <v>United Kingdom</v>
    <v>b1a5155a-6bb2-4646-8f7c-3e6b3a53c831</v>
    <v>it-IT</v>
    <v>Map</v>
  </rv>
  <rv s="1">
    <fb>2.4</fb>
    <v>29</v>
  </rv>
  <rv s="1">
    <fb>57106398</fb>
    <v>25</v>
  </rv>
  <rv s="1">
    <fb>22976066</fb>
    <v>25</v>
  </rv>
  <rv s="8">
    <v>#VALUE!</v>
    <v>it-IT</v>
    <v>280d39e8-7217-6863-6980-a8c20c211c89</v>
    <v>536870912</v>
    <v>1</v>
    <v>55</v>
    <v>56</v>
    <v>57</v>
    <v>England</v>
    <v>20</v>
    <v>21</v>
    <v>Map</v>
    <v>22</v>
    <v>51</v>
    <v>GB-ENG</v>
    <v>151</v>
    <v>152</v>
    <v>154</v>
    <v>England is a country that is part of the United Kingdom. It is located on the island of Great Britain, of which it covers about 62%, and more than 100 smaller adjacent islands. It shares a land border with Scotland to the north and another land ...</v>
    <v>155</v>
    <v>156</v>
    <v>152</v>
    <v>157</v>
    <v>158</v>
    <v>England</v>
    <v>159</v>
    <v>160</v>
    <v>161</v>
    <v>162</v>
    <v>England</v>
    <v>163</v>
    <v>mdp/vdpid/10270</v>
  </rv>
  <rv s="1">
    <fb>1572</fb>
    <v>25</v>
  </rv>
  <rv s="0">
    <v>805306368</v>
    <v>Sadiq Khan (Sindaco)</v>
    <v>d7862dc2-4c03-1dc8-3412-7fe03041fdcb</v>
    <v>it-IT</v>
    <v>Generic</v>
  </rv>
  <rv s="2">
    <v>15</v>
  </rv>
  <rv s="0">
    <v>536870912</v>
    <v>Grande Londra</v>
    <v>2ba8a441-178c-f2c0-26cb-a4b260b8c806</v>
    <v>it-IT</v>
    <v>Map</v>
  </rv>
  <rv s="2">
    <v>16</v>
  </rv>
  <rv s="3">
    <v>5</v>
    <v>22</v>
    <v>58</v>
    <v>7</v>
    <v>0</v>
    <v>Image of Londra</v>
  </rv>
  <rv s="1">
    <fb>51.507222222221998</fb>
    <v>38</v>
  </rv>
  <rv s="4">
    <v>https://www.bing.com/search?q=Londra&amp;form=skydnc</v>
    <v>Scopri di più con Bing</v>
  </rv>
  <rv s="1">
    <fb>-0.1275</fb>
    <v>38</v>
  </rv>
  <rv s="1">
    <fb>8866180</fb>
    <v>25</v>
  </rv>
  <rv s="6">
    <v>#VALUE!</v>
    <v>it-IT</v>
    <v>8e0ba7b6-4225-fa8a-6369-1b5294e602a5</v>
    <v>536870912</v>
    <v>1</v>
    <v>59</v>
    <v>35</v>
    <v>36</v>
    <v>Londra</v>
    <v>20</v>
    <v>21</v>
    <v>Map</v>
    <v>22</v>
    <v>60</v>
    <v>165</v>
    <v>167</v>
    <v>Londra è la capitale e maggiore città dell'Inghilterra, della Gran Bretagna e del Regno Unito, con i suoi 8 799 800 abitanti. La sua estensione territoriale la rende la terza città più estesa d'Europa, preceduta da Mosca e Istanbul. L'area ...</v>
    <v>150</v>
    <v>168</v>
    <v>169</v>
    <v>170</v>
    <v>171</v>
    <v>172</v>
    <v>173</v>
    <v>Londra</v>
    <v>150</v>
    <v>174</v>
    <v>Londra</v>
    <v>mdp/vdpid/5471798185326280713</v>
  </rv>
  <rv s="0">
    <v>536870912</v>
    <v>Portogallo</v>
    <v>9e917e65-c588-a0b7-f336-52fc6b5b2052</v>
    <v>it-IT</v>
    <v>Map</v>
  </rv>
  <rv s="1">
    <fb>0.39799999999999996</fb>
    <v>24</v>
  </rv>
  <rv s="1">
    <fb>92225</fb>
    <v>25</v>
  </rv>
  <rv s="1">
    <fb>0.34611423825368903</fb>
    <v>24</v>
  </rv>
  <rv s="1">
    <fb>81.3243902439024</fb>
    <v>26</v>
  </rv>
  <rv s="0">
    <v>536870912</v>
    <v>Lisbon</v>
    <v>9d006cb5-bff4-48b4-9c83-443eaf418b11</v>
    <v>it-IT</v>
    <v>Map</v>
  </rv>
  <rv s="1">
    <fb>61933604857.411003</fb>
    <v>27</v>
  </rv>
  <rv s="0">
    <v>805306368</v>
    <v>Marcelo Rebelo de Sousa (President)</v>
    <v>cd15af88-d571-7e9f-0e69-8c7f54821ed3</v>
    <v>it-IT</v>
    <v>Generic</v>
  </rv>
  <rv s="0">
    <v>805306368</v>
    <v>Luís Montenegro (Prime minister)</v>
    <v>5c7007c4-e5b4-49ae-8ea1-4431b1a749e8</v>
    <v>it-IT</v>
    <v>Generic</v>
  </rv>
  <rv s="0">
    <v>805306368</v>
    <v>José Pedro Aguiar-Branco (Speaker)</v>
    <v>95843627-6eb2-f0c6-fd97-ab9a65bd40b9</v>
    <v>it-IT</v>
    <v>Generic</v>
  </rv>
  <rv s="2">
    <v>17</v>
  </rv>
  <rv s="1">
    <fb>77.024122555839</fb>
    <v>26</v>
  </rv>
  <rv s="1">
    <fb>4662.6007998029399</fb>
    <v>25</v>
  </rv>
  <rv s="1">
    <fb>52000</fb>
    <v>25</v>
  </rv>
  <rv s="1">
    <fb>48741.764000000003</fb>
    <v>25</v>
  </rv>
  <rv s="1">
    <fb>0.227551770073532</fb>
    <v>24</v>
  </rv>
  <rv s="2">
    <v>18</v>
  </rv>
  <rv s="3">
    <v>6</v>
    <v>22</v>
    <v>62</v>
    <v>7</v>
    <v>0</v>
    <v>Image of Portugal</v>
  </rv>
  <rv s="1">
    <fb>110.624358614714</fb>
    <v>28</v>
  </rv>
  <rv s="1">
    <fb>0.63935809999999993</fb>
    <v>24</v>
  </rv>
  <rv s="1">
    <fb>1.0618313000000001</fb>
    <v>24</v>
  </rv>
  <rv s="4">
    <v>https://www.bing.com/search?q=portugal&amp;form=skydnc</v>
    <v>Learn more on Bing</v>
  </rv>
  <rv s="2">
    <v>19</v>
  </rv>
  <rv s="1">
    <fb>5.1239999999999997</fb>
    <v>29</v>
  </rv>
  <rv s="1">
    <fb>237686075634.698</fb>
    <v>27</v>
  </rv>
  <rv s="1">
    <fb>10379007</fb>
    <v>25</v>
  </rv>
  <rv s="1">
    <fb>6753579</fb>
    <v>25</v>
  </rv>
  <rv s="1">
    <fb>0.58811000823974602</fb>
    <v>24</v>
  </rv>
  <rv s="1">
    <fb>7.400000000000001E-2</fb>
    <v>24</v>
  </rv>
  <rv s="1">
    <fb>0.26700000000000002</fb>
    <v>24</v>
  </rv>
  <rv s="1">
    <fb>0.221</fb>
    <v>24</v>
  </rv>
  <rv s="1">
    <fb>0.124</fb>
    <v>24</v>
  </rv>
  <rv s="1">
    <fb>0.16500000000000001</fb>
    <v>24</v>
  </rv>
  <rv s="1">
    <fb>351</fb>
    <v>30</v>
  </rv>
  <rv s="1">
    <fb>1.54</fb>
    <v>31</v>
  </rv>
  <rv s="1">
    <fb>3.78</fb>
    <v>31</v>
  </rv>
  <rv s="1">
    <fb>0.27650697260000001</fb>
    <v>24</v>
  </rv>
  <rv s="0">
    <v>536870912</v>
    <v>Lisbon District</v>
    <v>9aabe4c9-f2ff-745a-22b7-741589d147d3</v>
    <v>it-IT</v>
    <v>Map</v>
  </rv>
  <rv s="0">
    <v>536870912</v>
    <v>Leiria District</v>
    <v>1e45c3ae-38a6-3ec3-3187-2e72c0cad027</v>
    <v>it-IT</v>
    <v>Map</v>
  </rv>
  <rv s="0">
    <v>536870912</v>
    <v>Santarém District</v>
    <v>31ed3d3b-1669-48e6-9f45-7dff6e48107b</v>
    <v>it-IT</v>
    <v>Map</v>
  </rv>
  <rv s="0">
    <v>536870912</v>
    <v>Setúbal District</v>
    <v>2443fa57-ba7a-ca6f-6988-b7bb998c209d</v>
    <v>it-IT</v>
    <v>Map</v>
  </rv>
  <rv s="0">
    <v>536870912</v>
    <v>Beja District</v>
    <v>57132a4f-ab86-49cc-9a10-eea78fe194c6</v>
    <v>it-IT</v>
    <v>Map</v>
  </rv>
  <rv s="0">
    <v>536870912</v>
    <v>Faro District</v>
    <v>0f961e40-6a20-4ce7-9c8b-3c9484a39b31</v>
    <v>it-IT</v>
    <v>Map</v>
  </rv>
  <rv s="0">
    <v>536870912</v>
    <v>Évora District</v>
    <v>9f2c1154-ba9c-42db-b07d-6ac93b22f847</v>
    <v>it-IT</v>
    <v>Map</v>
  </rv>
  <rv s="0">
    <v>536870912</v>
    <v>Portalegre District</v>
    <v>0509a564-38fa-4a46-85bd-79ea9cfb105b</v>
    <v>it-IT</v>
    <v>Map</v>
  </rv>
  <rv s="0">
    <v>536870912</v>
    <v>Castelo Branco District</v>
    <v>fb4769a8-e791-44cf-b415-49b116c2d850</v>
    <v>it-IT</v>
    <v>Map</v>
  </rv>
  <rv s="0">
    <v>536870912</v>
    <v>Guarda District</v>
    <v>a6ab4e89-16d3-c736-2651-53af26e5c9fb</v>
    <v>it-IT</v>
    <v>Map</v>
  </rv>
  <rv s="0">
    <v>536870912</v>
    <v>Coimbra District</v>
    <v>eaabde58-df44-d3f2-fcaf-2eb0b0c892ca</v>
    <v>it-IT</v>
    <v>Map</v>
  </rv>
  <rv s="0">
    <v>536870912</v>
    <v>Aveiro District</v>
    <v>2448fddc-7ab4-4061-c990-7ee0e882b83f</v>
    <v>it-IT</v>
    <v>Map</v>
  </rv>
  <rv s="0">
    <v>536870912</v>
    <v>Viseu District</v>
    <v>4af2c91e-a2d9-03c8-4bcc-d0e611b7a836</v>
    <v>it-IT</v>
    <v>Map</v>
  </rv>
  <rv s="0">
    <v>536870912</v>
    <v>Bragança District</v>
    <v>511e9c5a-156c-4018-b440-d68a04fdd311</v>
    <v>it-IT</v>
    <v>Map</v>
  </rv>
  <rv s="0">
    <v>536870912</v>
    <v>Vila Real District</v>
    <v>16491095-1ede-45bc-b4f9-d0b768b902b4</v>
    <v>it-IT</v>
    <v>Map</v>
  </rv>
  <rv s="0">
    <v>536870912</v>
    <v>Porto District</v>
    <v>ab024f06-dfa0-f5d5-2ace-323a59e1c03f</v>
    <v>it-IT</v>
    <v>Map</v>
  </rv>
  <rv s="0">
    <v>536870912</v>
    <v>Braga District</v>
    <v>bf9b0bf5-80ec-1d9e-e2bb-f15cfff91b3f</v>
    <v>it-IT</v>
    <v>Map</v>
  </rv>
  <rv s="0">
    <v>536870912</v>
    <v>Viana do Castelo District</v>
    <v>e82c5675-25b8-35f8-dd22-1d162bbc45bd</v>
    <v>it-IT</v>
    <v>Map</v>
  </rv>
  <rv s="0">
    <v>536870912</v>
    <v>Madeira</v>
    <v>fd1c338d-a716-e095-102a-5ac3106ddd68</v>
    <v>it-IT</v>
    <v>Map</v>
  </rv>
  <rv s="0">
    <v>536870912</v>
    <v>Azores</v>
    <v>162558d5-afd4-4b00-9d00-54ad16880f8b</v>
    <v>it-IT</v>
    <v>Map</v>
  </rv>
  <rv s="2">
    <v>20</v>
  </rv>
  <rv s="1">
    <fb>6.33400011062622E-2</fb>
    <v>32</v>
  </rv>
  <rv s="1">
    <fb>1.38</fb>
    <v>29</v>
  </rv>
  <rv s="1">
    <fb>8.5</fb>
    <v>29</v>
  </rv>
  <rv s="1">
    <fb>0.39452940398253294</fb>
    <v>24</v>
  </rv>
  <rv s="1">
    <fb>3.3817841004612497E-3</fb>
    <v>24</v>
  </rv>
  <rv s="5">
    <v>#VALUE!</v>
    <v>it-IT</v>
    <v>9e917e65-c588-a0b7-f336-52fc6b5b2052</v>
    <v>536870912</v>
    <v>1</v>
    <v>65</v>
    <v>17</v>
    <v>18</v>
    <v>Portugal</v>
    <v>20</v>
    <v>21</v>
    <v>Map</v>
    <v>22</v>
    <v>66</v>
    <v>PT</v>
    <v>177</v>
    <v>178</v>
    <v>179</v>
    <v>180</v>
    <v>181</v>
    <v>182</v>
    <v>186</v>
    <v>EUR</v>
    <v>10</v>
    <v>187</v>
    <v>188</v>
    <v>Portugal, officially the Portuguese Republic, is a country in the Iberian Peninsula in Southwestern Europe. Featuring the westernmost point in continental Europe, Portugal borders Spain to its north and east, with which it shares the longest ...</v>
    <v>189</v>
    <v>190</v>
    <v>191</v>
    <v>192</v>
    <v>193</v>
    <v>A Portuguesa</v>
    <v>194</v>
    <v>195</v>
    <v>196</v>
    <v>181</v>
    <v>197</v>
    <v>198</v>
    <v>199</v>
    <v>105</v>
    <v>Portugal</v>
    <v>Portugalská republika</v>
    <v>200</v>
    <v>201</v>
    <v>202</v>
    <v>203</v>
    <v>204</v>
    <v>205</v>
    <v>206</v>
    <v>207</v>
    <v>208</v>
    <v>209</v>
    <v>210</v>
    <v>211</v>
    <v>212</v>
    <v>233</v>
    <v>234</v>
    <v>235</v>
    <v>236</v>
    <v>237</v>
    <v>Portugal</v>
    <v>238</v>
    <v>mdp/vdpid/193</v>
  </rv>
  <rv s="1">
    <fb>100.05</fb>
    <v>25</v>
  </rv>
  <rv s="0">
    <v>536870912</v>
    <v>Distretto di Lisbona</v>
    <v>9aabe4c9-f2ff-745a-22b7-741589d147d3</v>
    <v>it-IT</v>
    <v>Map</v>
  </rv>
  <rv s="3">
    <v>7</v>
    <v>22</v>
    <v>67</v>
    <v>7</v>
    <v>0</v>
    <v>Image of Lisbona</v>
  </rv>
  <rv s="4">
    <v>https://www.bing.com/search?q=Lisbona&amp;form=skydnc</v>
    <v>Scopri di più con Bing</v>
  </rv>
  <rv s="1">
    <fb>545923</fb>
    <v>25</v>
  </rv>
  <rv s="9">
    <v>#VALUE!</v>
    <v>it-IT</v>
    <v>9d006cb5-bff4-48b4-9c83-443eaf418b11</v>
    <v>536870912</v>
    <v>1</v>
    <v>68</v>
    <v>69</v>
    <v>70</v>
    <v>Lisbona</v>
    <v>20</v>
    <v>21</v>
    <v>Map</v>
    <v>22</v>
    <v>71</v>
    <v>240</v>
    <v>Lisbona è la capitale e la principale città del Portogallo. Con una popolazione censita di 545 923 abitanti all'interno dei suoi confini amministrativi, e circa 3 milioni nella sua area urbana è la città più popolosa del Paese. Situata ...</v>
    <v>241</v>
    <v>242</v>
    <v>243</v>
    <v>Lisbona</v>
    <v>176</v>
    <v>244</v>
    <v>Lisbona</v>
    <v>mdp/vdpid/161498680</v>
  </rv>
  <rv s="0">
    <v>536870912</v>
    <v>Spagna</v>
    <v>1baf9d59-f443-e9f4-6e49-de048a073e3f</v>
    <v>it-IT</v>
    <v>Map</v>
  </rv>
  <rv s="1">
    <fb>0.47</fb>
    <v>24</v>
  </rv>
  <rv s="1">
    <fb>505990</fb>
    <v>25</v>
  </rv>
  <rv s="1">
    <fb>0.36936209528965797</fb>
    <v>24</v>
  </rv>
  <rv s="1">
    <fb>83.334146341463395</fb>
    <v>26</v>
  </rv>
  <rv s="0">
    <v>536870912</v>
    <v>Madrid</v>
    <v>a497c067-c4c6-4bf4-9a5d-34fd30589bda</v>
    <v>it-IT</v>
    <v>Map</v>
  </rv>
  <rv s="1">
    <fb>797285840000</fb>
    <v>27</v>
  </rv>
  <rv s="0">
    <v>805306368</v>
    <v>Felipe VI (Monarch)</v>
    <v>ec86fb82-ddbc-286a-d1a7-3644682c1efc</v>
    <v>it-IT</v>
    <v>Generic</v>
  </rv>
  <rv s="0">
    <v>805306368</v>
    <v>Pedro Sánchez (Prime minister)</v>
    <v>9e0d6cf3-f466-7b6f-0a92-aa23020fc120</v>
    <v>it-IT</v>
    <v>Generic</v>
  </rv>
  <rv s="2">
    <v>21</v>
  </rv>
  <rv s="1">
    <fb>4</fb>
    <v>26</v>
  </rv>
  <rv s="1">
    <fb>72.955546118337793</fb>
    <v>26</v>
  </rv>
  <rv s="1">
    <fb>5355.9870055822103</fb>
    <v>25</v>
  </rv>
  <rv s="1">
    <fb>196000</fb>
    <v>25</v>
  </rv>
  <rv s="1">
    <fb>244002.18</fb>
    <v>25</v>
  </rv>
  <rv s="1">
    <fb>0.14248211393678101</fb>
    <v>24</v>
  </rv>
  <rv s="3">
    <v>8</v>
    <v>22</v>
    <v>73</v>
    <v>7</v>
    <v>0</v>
    <v>Image of Spain</v>
  </rv>
  <rv s="1">
    <fb>110.96151904206</fb>
    <v>28</v>
  </rv>
  <rv s="1">
    <fb>0.88853009999999999</fb>
    <v>24</v>
  </rv>
  <rv s="1">
    <fb>1.0271029</fb>
    <v>24</v>
  </rv>
  <rv s="4">
    <v>https://www.bing.com/search?q=spain&amp;form=skydnc</v>
    <v>Learn more on Bing</v>
  </rv>
  <rv s="2">
    <v>22</v>
  </rv>
  <rv s="1">
    <fb>3.8723000000000001</fb>
    <v>29</v>
  </rv>
  <rv s="1">
    <fb>2.5</fb>
    <v>26</v>
  </rv>
  <rv s="1">
    <fb>1394116310768.6299</fb>
    <v>27</v>
  </rv>
  <rv s="1">
    <fb>47615034</fb>
    <v>25</v>
  </rv>
  <rv s="1">
    <fb>37927409</fb>
    <v>25</v>
  </rv>
  <rv s="1">
    <fb>0.57492000579834002</fb>
    <v>24</v>
  </rv>
  <rv s="1">
    <fb>6.2E-2</fb>
    <v>24</v>
  </rv>
  <rv s="1">
    <fb>0.254</fb>
    <v>24</v>
  </rv>
  <rv s="1">
    <fb>0.23399999999999999</fb>
    <v>24</v>
  </rv>
  <rv s="1">
    <fb>0.122</fb>
    <v>24</v>
  </rv>
  <rv s="1">
    <fb>0.17199999999999999</fb>
    <v>24</v>
  </rv>
  <rv s="1">
    <fb>34</fb>
    <v>30</v>
  </rv>
  <rv s="1">
    <fb>1.26</fb>
    <v>31</v>
  </rv>
  <rv s="1">
    <fb>5.6</fb>
    <v>31</v>
  </rv>
  <rv s="1">
    <fb>0.24229018520000001</fb>
    <v>24</v>
  </rv>
  <rv s="0">
    <v>536870912</v>
    <v>Andalusia</v>
    <v>b009454b-b921-1477-fbf3-ea4c66d409b5</v>
    <v>it-IT</v>
    <v>Map</v>
  </rv>
  <rv s="0">
    <v>536870912</v>
    <v>Catalonia</v>
    <v>54afd4ed-d6c4-c6c9-2f8d-10440795b196</v>
    <v>it-IT</v>
    <v>Map</v>
  </rv>
  <rv s="0">
    <v>536870912</v>
    <v>Community of Madrid</v>
    <v>854c08ed-f6d7-c812-1a3f-46928ae0597e</v>
    <v>it-IT</v>
    <v>Map</v>
  </rv>
  <rv s="0">
    <v>536870912</v>
    <v>Valencian Community</v>
    <v>d1a45f13-aca9-6854-cb23-92573a279216</v>
    <v>it-IT</v>
    <v>Map</v>
  </rv>
  <rv s="0">
    <v>536870912</v>
    <v>Galicia</v>
    <v>70c91f08-f55c-f98a-047e-aa9228ed4253</v>
    <v>it-IT</v>
    <v>Map</v>
  </rv>
  <rv s="0">
    <v>536870912</v>
    <v>Castile and León</v>
    <v>7fc8f34d-7f31-b8c6-34d4-545cb3920adf</v>
    <v>it-IT</v>
    <v>Map</v>
  </rv>
  <rv s="0">
    <v>536870912</v>
    <v>Basque Country</v>
    <v>27cbb013-d521-0f66-7c87-67bad92e92f5</v>
    <v>it-IT</v>
    <v>Map</v>
  </rv>
  <rv s="0">
    <v>536870912</v>
    <v>Canary Islands</v>
    <v>e5f4f633-d27e-9012-be27-a85d7ed21999</v>
    <v>it-IT</v>
    <v>Map</v>
  </rv>
  <rv s="0">
    <v>536870912</v>
    <v>Castilla–La Mancha</v>
    <v>1e79c598-5619-e707-75d9-40410db3c0b2</v>
    <v>it-IT</v>
    <v>Map</v>
  </rv>
  <rv s="0">
    <v>536870912</v>
    <v>Region of Murcia</v>
    <v>e697a468-5c9d-9a42-68ac-b04781a55abd</v>
    <v>it-IT</v>
    <v>Map</v>
  </rv>
  <rv s="0">
    <v>536870912</v>
    <v>Aragon</v>
    <v>66482df7-7a8d-eb53-1b74-7702eb8f6ab7</v>
    <v>it-IT</v>
    <v>Map</v>
  </rv>
  <rv s="0">
    <v>536870912</v>
    <v>Asturias</v>
    <v>6880b28a-27ed-46a3-3b3f-93553df34103</v>
    <v>it-IT</v>
    <v>Map</v>
  </rv>
  <rv s="0">
    <v>536870912</v>
    <v>Extremadura</v>
    <v>60c245e4-f9c9-d637-1ff7-50148c20166f</v>
    <v>it-IT</v>
    <v>Map</v>
  </rv>
  <rv s="0">
    <v>536870912</v>
    <v>Navarre</v>
    <v>bd2c46e0-0dec-2a95-cf06-e23728a2a0ed</v>
    <v>it-IT</v>
    <v>Map</v>
  </rv>
  <rv s="0">
    <v>536870912</v>
    <v>Cantabria</v>
    <v>ff0ffbe3-172a-ecd8-17cd-6f2f89c9d0dd</v>
    <v>it-IT</v>
    <v>Map</v>
  </rv>
  <rv s="0">
    <v>536870912</v>
    <v>La Rioja</v>
    <v>c27fd34e-d1ab-5145-cc6e-9d85b07f919e</v>
    <v>it-IT</v>
    <v>Map</v>
  </rv>
  <rv s="0">
    <v>536870912</v>
    <v>Ceuta</v>
    <v>4575b2d9-4933-9d93-b84d-3080054b3dda</v>
    <v>it-IT</v>
    <v>Map</v>
  </rv>
  <rv s="0">
    <v>536870912</v>
    <v>Melilla</v>
    <v>a67b3afb-47dd-d884-afd6-0794c4de12ba</v>
    <v>it-IT</v>
    <v>Map</v>
  </rv>
  <rv s="2">
    <v>23</v>
  </rv>
  <rv s="1">
    <fb>0.13958999633789099</fb>
    <v>32</v>
  </rv>
  <rv s="1">
    <fb>1.26</fb>
    <v>29</v>
  </rv>
  <rv s="1">
    <fb>7.9</fb>
    <v>29</v>
  </rv>
  <rv s="1">
    <fb>0.52577247440306896</fb>
    <v>24</v>
  </rv>
  <rv s="1">
    <fb>6.9953624171701497E-3</fb>
    <v>24</v>
  </rv>
  <rv s="5">
    <v>#VALUE!</v>
    <v>it-IT</v>
    <v>1baf9d59-f443-e9f4-6e49-de048a073e3f</v>
    <v>536870912</v>
    <v>1</v>
    <v>76</v>
    <v>17</v>
    <v>18</v>
    <v>Spain</v>
    <v>20</v>
    <v>21</v>
    <v>Map</v>
    <v>22</v>
    <v>77</v>
    <v>ES</v>
    <v>247</v>
    <v>248</v>
    <v>249</v>
    <v>250</v>
    <v>251</v>
    <v>252</v>
    <v>255</v>
    <v>EUR</v>
    <v>256</v>
    <v>257</v>
    <v>258</v>
    <v>Spain, officially the Kingdom of Spain, is a country in Southwestern Europe with territories in North Africa. Featuring the southernmost point of continental Europe, it is the largest country in Southern Europe and the fourth-most populous ...</v>
    <v>259</v>
    <v>260</v>
    <v>261</v>
    <v>97</v>
    <v>262</v>
    <v>Marcha Real</v>
    <v>263</v>
    <v>264</v>
    <v>265</v>
    <v>251</v>
    <v>266</v>
    <v>267</v>
    <v>268</v>
    <v>269</v>
    <v>Spain</v>
    <v>Reino de España</v>
    <v>270</v>
    <v>271</v>
    <v>272</v>
    <v>273</v>
    <v>274</v>
    <v>275</v>
    <v>276</v>
    <v>277</v>
    <v>278</v>
    <v>279</v>
    <v>280</v>
    <v>281</v>
    <v>282</v>
    <v>301</v>
    <v>302</v>
    <v>303</v>
    <v>304</v>
    <v>305</v>
    <v>Spain</v>
    <v>306</v>
    <v>mdp/vdpid/217</v>
  </rv>
  <rv s="1">
    <fb>604.45510000000002</fb>
    <v>25</v>
  </rv>
  <rv s="0">
    <v>805306368</v>
    <v>José Luis Martínez-Almeida (Sindaco)</v>
    <v>d059f89e-9389-5fff-d365-894d7aefd20e</v>
    <v>it-IT</v>
    <v>Generic</v>
  </rv>
  <rv s="2">
    <v>24</v>
  </rv>
  <rv s="0">
    <v>536870912</v>
    <v>Madrid</v>
    <v>854c08ed-f6d7-c812-1a3f-46928ae0597e</v>
    <v>it-IT</v>
    <v>Map</v>
  </rv>
  <rv s="3">
    <v>9</v>
    <v>22</v>
    <v>78</v>
    <v>7</v>
    <v>0</v>
    <v>Image of Madrid</v>
  </rv>
  <rv s="1">
    <fb>40.416944444444397</fb>
    <v>38</v>
  </rv>
  <rv s="4">
    <v>https://www.bing.com/search?q=Madrid&amp;form=skydnc</v>
    <v>Scopri di più con Bing</v>
  </rv>
  <rv s="1">
    <fb>-3.70333333333333</fb>
    <v>38</v>
  </rv>
  <rv s="1">
    <fb>3223334</fb>
    <v>25</v>
  </rv>
  <rv s="10">
    <v>#VALUE!</v>
    <v>it-IT</v>
    <v>a497c067-c4c6-4bf4-9a5d-34fd30589bda</v>
    <v>536870912</v>
    <v>1</v>
    <v>79</v>
    <v>80</v>
    <v>81</v>
    <v>Madrid</v>
    <v>20</v>
    <v>21</v>
    <v>Map</v>
    <v>22</v>
    <v>82</v>
    <v>308</v>
    <v>310</v>
    <v>Madrid è la capitale e la città più popolosa della Spagna; si tratta del secondo comune più popoloso nell'Unione europea, dopo Berlino, e la sua area metropolitana è la sesta più popolosa d'Europa dopo Mosca, Istanbul, Londra, la Ruhr e Parigi: ...</v>
    <v>311</v>
    <v>74</v>
    <v>312</v>
    <v>313</v>
    <v>314</v>
    <v>315</v>
    <v>Madrid</v>
    <v>246</v>
    <v>316</v>
    <v>Madrid</v>
    <v>mdp/vdpid/5669357583933112321</v>
  </rv>
  <rv s="0">
    <v>536870912</v>
    <v>Parigi</v>
    <v>85584d24-2116-5b98-89f9-5714db931ac6</v>
    <v>it-IT</v>
    <v>Map</v>
  </rv>
  <rv s="0">
    <v>536870912</v>
    <v>Londra</v>
    <v>8e0ba7b6-4225-fa8a-6369-1b5294e602a5</v>
    <v>it-IT</v>
    <v>Map</v>
  </rv>
  <rv s="0">
    <v>536870912</v>
    <v>Lisbona</v>
    <v>9d006cb5-bff4-48b4-9c83-443eaf418b11</v>
    <v>it-IT</v>
    <v>Map</v>
  </rv>
  <rv s="0">
    <v>536870912</v>
    <v>Berlino</v>
    <v>42784943-7c23-7672-5527-06f89b965cdf</v>
    <v>it-IT</v>
    <v>Map</v>
  </rv>
  <rv s="0">
    <v>536870912</v>
    <v>London</v>
    <v>8e0ba7b6-4225-fa8a-6369-1b5294e602a5</v>
    <v>en-GB</v>
    <v>Map</v>
  </rv>
  <rv s="0">
    <v>536870912</v>
    <v>England</v>
    <v>280d39e8-7217-6863-6980-a8c20c211c89</v>
    <v>en-GB</v>
    <v>Map</v>
  </rv>
  <rv s="0">
    <v>536870912</v>
    <v>Greater London</v>
    <v>2ba8a441-178c-f2c0-26cb-a4b260b8c806</v>
    <v>en-GB</v>
    <v>Map</v>
  </rv>
  <rv s="0">
    <v>536870912</v>
    <v>United Kingdom</v>
    <v>b1a5155a-6bb2-4646-8f7c-3e6b3a53c831</v>
    <v>en-GB</v>
    <v>Map</v>
  </rv>
  <rv s="1">
    <fb>51.500152399999997</fb>
    <v>38</v>
  </rv>
  <rv s="0">
    <v>805306368</v>
    <v>Sadiq Khan (Mayor)</v>
    <v>d7862dc2-4c03-1dc8-3412-7fe03041fdcb</v>
    <v>en-GB</v>
    <v>Generic</v>
  </rv>
  <rv s="2">
    <v>25</v>
  </rv>
  <rv s="4">
    <v>https://www.bing.com/search?q=london+england&amp;form=skydnc</v>
    <v>Learn more on Bing</v>
  </rv>
  <rv s="1">
    <fb>-0.12623619999999999</fb>
    <v>38</v>
  </rv>
  <rv s="1">
    <fb>9002488</fb>
    <v>25</v>
  </rv>
  <rv s="2">
    <v>26</v>
  </rv>
  <rv s="11">
    <v>#VALUE!</v>
    <v>en-GB</v>
    <v>8e0ba7b6-4225-fa8a-6369-1b5294e602a5</v>
    <v>536870912</v>
    <v>1</v>
    <v>87</v>
    <v>88</v>
    <v>London</v>
    <v>90</v>
    <v>91</v>
    <v>Map</v>
    <v>92</v>
    <v>93</v>
    <v>323</v>
    <v>324</v>
    <v>165</v>
    <v>325</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326</v>
    <v>328</v>
    <v>329</v>
    <v>330</v>
    <v>London</v>
    <v>331</v>
    <v>332</v>
    <v>London</v>
    <v>mdp/vdpid/5471798185326280713</v>
  </rv>
  <rv s="1">
    <fb>0.71714878141404492</fb>
    <v>24</v>
  </rv>
  <rv s="1">
    <fb>243610</fb>
    <v>25</v>
  </rv>
  <rv s="1">
    <fb>148000</fb>
    <v>25</v>
  </rv>
  <rv s="1">
    <fb>11</fb>
    <v>29</v>
  </rv>
  <rv s="1">
    <fb>44</fb>
    <v>30</v>
  </rv>
  <rv s="1">
    <fb>379024.78700000001</fb>
    <v>25</v>
  </rv>
  <rv s="1">
    <fb>119.622711300166</fb>
    <v>28</v>
  </rv>
  <rv s="1">
    <fb>1.7381046008651101E-2</fb>
    <v>24</v>
  </rv>
  <rv s="1">
    <fb>5129.5277927901998</fb>
    <v>25</v>
  </rv>
  <rv s="1">
    <fb>1.68</fb>
    <v>29</v>
  </rv>
  <rv s="1">
    <fb>0.130657628239573</fb>
    <v>24</v>
  </rv>
  <rv s="1">
    <fb>80.351771267255202</fb>
    <v>26</v>
  </rv>
  <rv s="1">
    <fb>1.46</fb>
    <v>31</v>
  </rv>
  <rv s="1">
    <fb>2827113184695.5801</fb>
    <v>27</v>
  </rv>
  <rv s="1">
    <fb>1.0115456</fb>
    <v>24</v>
  </rv>
  <rv s="1">
    <fb>0.59995569999999998</fb>
    <v>24</v>
  </rv>
  <rv s="3">
    <v>10</v>
    <v>92</v>
    <v>106</v>
    <v>6</v>
    <v>0</v>
    <v>Image of United Kingdom</v>
  </rv>
  <rv s="1">
    <fb>3.6</fb>
    <v>26</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27</v>
  </rv>
  <rv s="4">
    <v>https://www.bing.com/search?q=united+kingdom&amp;form=skydnc</v>
    <v>Learn more on Bing</v>
  </rv>
  <rv s="1">
    <fb>81.256097560975604</fb>
    <v>26</v>
  </rv>
  <rv s="1">
    <fb>1868152970000</fb>
    <v>27</v>
  </rv>
  <rv s="1">
    <fb>10.130000000000001</fb>
    <v>31</v>
  </rv>
  <rv s="2">
    <v>28</v>
  </rv>
  <rv s="1">
    <fb>0.14794489889999998</fb>
    <v>24</v>
  </rv>
  <rv s="1">
    <fb>2.8117000000000001</fb>
    <v>29</v>
  </rv>
  <rv s="1">
    <fb>66834405</fb>
    <v>25</v>
  </rv>
  <rv s="1">
    <fb>0.22500000000000001</fb>
    <v>24</v>
  </rv>
  <rv s="1">
    <fb>0.26800000000000002</fb>
    <v>24</v>
  </rv>
  <rv s="1">
    <fb>0.42100000000000004</fb>
    <v>24</v>
  </rv>
  <rv s="1">
    <fb>2.7999999999999997E-2</fb>
    <v>24</v>
  </rv>
  <rv s="1">
    <fb>7.0999999999999994E-2</fb>
    <v>24</v>
  </rv>
  <rv s="1">
    <fb>0.11900000000000001</fb>
    <v>24</v>
  </rv>
  <rv s="1">
    <fb>0.16399999999999998</fb>
    <v>24</v>
  </rv>
  <rv s="1">
    <fb>0.62773998260497998</fb>
    <v>24</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29</v>
  </rv>
  <rv s="1">
    <fb>0.255052921600669</fb>
    <v>24</v>
  </rv>
  <rv s="2">
    <v>30</v>
  </rv>
  <rv s="1">
    <fb>0.30599999999999999</fb>
    <v>24</v>
  </rv>
  <rv s="1">
    <fb>3.8510000705719E-2</fb>
    <v>32</v>
  </rv>
  <rv s="1">
    <fb>55908316</fb>
    <v>25</v>
  </rv>
  <rv s="12">
    <v>#VALUE!</v>
    <v>en-GB</v>
    <v>b1a5155a-6bb2-4646-8f7c-3e6b3a53c831</v>
    <v>536870912</v>
    <v>1</v>
    <v>102</v>
    <v>103</v>
    <v>United Kingdom</v>
    <v>90</v>
    <v>104</v>
    <v>Map</v>
    <v>92</v>
    <v>105</v>
    <v>GB</v>
    <v>334</v>
    <v>335</v>
    <v>336</v>
    <v>337</v>
    <v>338</v>
    <v>322</v>
    <v>339</v>
    <v>340</v>
    <v>341</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342</v>
    <v>343</v>
    <v>344</v>
    <v>345</v>
    <v>346</v>
    <v>347</v>
    <v>348</v>
    <v>349</v>
    <v>350</v>
    <v>351</v>
    <v>322</v>
    <v>356</v>
    <v>357</v>
    <v>358</v>
    <v>359</v>
    <v>91</v>
    <v>360</v>
    <v>United Kingdom</v>
    <v>God Save the Queen</v>
    <v>361</v>
    <v>United Kingdom of Great Britain and Northern Ireland</v>
    <v>362</v>
    <v>363</v>
    <v>364</v>
    <v>365</v>
    <v>366</v>
    <v>367</v>
    <v>368</v>
    <v>369</v>
    <v>370</v>
    <v>371</v>
    <v>372</v>
    <v>519</v>
    <v>520</v>
    <v>521</v>
    <v>522</v>
    <v>523</v>
    <v>United Kingdom</v>
    <v>524</v>
    <v>mdp/vdpid/242</v>
  </rv>
  <rv s="0">
    <v>536870912</v>
    <v>Madrid</v>
    <v>a497c067-c4c6-4bf4-9a5d-34fd30589bda</v>
    <v>en-GB</v>
    <v>Map</v>
  </rv>
  <rv s="0">
    <v>536870912</v>
    <v>Community of Madrid</v>
    <v>854c08ed-f6d7-c812-1a3f-46928ae0597e</v>
    <v>en-GB</v>
    <v>Map</v>
  </rv>
  <rv s="1">
    <fb>604.29999999999995</fb>
    <v>25</v>
  </rv>
  <rv s="0">
    <v>536870912</v>
    <v>Spain</v>
    <v>1baf9d59-f443-e9f4-6e49-de048a073e3f</v>
    <v>en-GB</v>
    <v>Map</v>
  </rv>
  <rv s="1">
    <fb>40.416690899999999</fb>
    <v>38</v>
  </rv>
  <rv s="0">
    <v>805306368</v>
    <v>Manuela Carmena (Mayor)</v>
    <v>22b84f13-a006-51f6-9168-1a4d6061ea2f</v>
    <v>en-GB</v>
    <v>Generic</v>
  </rv>
  <rv s="2">
    <v>31</v>
  </rv>
  <rv s="4">
    <v>https://www.bing.com/search?q=madrid+spain&amp;form=skydnc</v>
    <v>Learn more on Bing</v>
  </rv>
  <rv s="1">
    <fb>-3.7003453999999998</fb>
    <v>38</v>
  </rv>
  <rv s="1">
    <fb>3233527</fb>
    <v>25</v>
  </rv>
  <rv s="2">
    <v>32</v>
  </rv>
  <rv s="13">
    <v>#VALUE!</v>
    <v>en-GB</v>
    <v>a497c067-c4c6-4bf4-9a5d-34fd30589bda</v>
    <v>536870912</v>
    <v>1</v>
    <v>110</v>
    <v>111</v>
    <v>Madrid</v>
    <v>90</v>
    <v>91</v>
    <v>Map</v>
    <v>92</v>
    <v>112</v>
    <v>527</v>
    <v>528</v>
    <v>529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530</v>
    <v>532</v>
    <v>533</v>
    <v>534</v>
    <v>Madrid</v>
    <v>535</v>
    <v>536</v>
    <v>Madrid</v>
    <v>mdp/vdpid/5669357583933112321</v>
  </rv>
  <rv s="1">
    <fb>505370</fb>
    <v>25</v>
  </rv>
  <rv s="3">
    <v>11</v>
    <v>92</v>
    <v>118</v>
    <v>6</v>
    <v>0</v>
    <v>Image of Spain</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33</v>
  </rv>
  <rv s="2">
    <v>34</v>
  </rv>
  <rv s="1">
    <fb>47076781</fb>
    <v>25</v>
  </rv>
  <rv s="1">
    <fb>0.41</fb>
    <v>24</v>
  </rv>
  <rv s="1">
    <fb>2.1000000000000001E-2</fb>
    <v>24</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35</v>
  </rv>
  <rv s="2">
    <v>36</v>
  </rv>
  <rv s="12">
    <v>#VALUE!</v>
    <v>en-GB</v>
    <v>1baf9d59-f443-e9f4-6e49-de048a073e3f</v>
    <v>536870912</v>
    <v>1</v>
    <v>116</v>
    <v>103</v>
    <v>Spain</v>
    <v>90</v>
    <v>104</v>
    <v>Map</v>
    <v>92</v>
    <v>117</v>
    <v>ES</v>
    <v>305</v>
    <v>538</v>
    <v>259</v>
    <v>304</v>
    <v>279</v>
    <v>526</v>
    <v>260</v>
    <v>263</v>
    <v>306</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258</v>
    <v>303</v>
    <v>249</v>
    <v>257</v>
    <v>280</v>
    <v>270</v>
    <v>265</v>
    <v>264</v>
    <v>539</v>
    <v>269</v>
    <v>526</v>
    <v>543</v>
    <v>266</v>
    <v>250</v>
    <v>252</v>
    <v>256</v>
    <v>281</v>
    <v>Spain</v>
    <v>Marcha Real</v>
    <v>544</v>
    <v>Spain</v>
    <v>282</v>
    <v>268</v>
    <v>545</v>
    <v>276</v>
    <v>275</v>
    <v>546</v>
    <v>547</v>
    <v>274</v>
    <v>277</v>
    <v>278</v>
    <v>273</v>
    <v>590</v>
    <v>261</v>
    <v>591</v>
    <v>247</v>
    <v>302</v>
    <v>Spain</v>
    <v>272</v>
    <v>mdp/vdpid/217</v>
  </rv>
  <rv s="0">
    <v>536870912</v>
    <v>Lisbon</v>
    <v>9d006cb5-bff4-48b4-9c83-443eaf418b11</v>
    <v>en-GB</v>
    <v>Map</v>
  </rv>
  <rv s="0">
    <v>536870912</v>
    <v>Lisbon District</v>
    <v>9aabe4c9-f2ff-745a-22b7-741589d147d3</v>
    <v>en-GB</v>
    <v>Map</v>
  </rv>
  <rv s="0">
    <v>536870912</v>
    <v>Portugal</v>
    <v>9e917e65-c588-a0b7-f336-52fc6b5b2052</v>
    <v>en-GB</v>
    <v>Map</v>
  </rv>
  <rv s="3">
    <v>12</v>
    <v>92</v>
    <v>126</v>
    <v>6</v>
    <v>0</v>
    <v>Image of Lisbon</v>
  </rv>
  <rv s="4">
    <v>https://www.bing.com/search?q=lisbon+portugal&amp;form=skydnc</v>
    <v>Learn more on Bing</v>
  </rv>
  <rv s="1">
    <fb>544851</fb>
    <v>25</v>
  </rv>
  <rv s="2">
    <v>37</v>
  </rv>
  <rv s="14">
    <v>#VALUE!</v>
    <v>en-GB</v>
    <v>9d006cb5-bff4-48b4-9c83-443eaf418b11</v>
    <v>536870912</v>
    <v>1</v>
    <v>123</v>
    <v>124</v>
    <v>Lisbon</v>
    <v>125</v>
    <v>104</v>
    <v>Map</v>
    <v>92</v>
    <v>93</v>
    <v>594</v>
    <v>240</v>
    <v>595</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596</v>
    <v>597</v>
    <v>Lisbon</v>
    <v>598</v>
    <v>599</v>
    <v>Lisbon</v>
    <v>mdp/vdpid/161498680</v>
  </rv>
  <rv s="1">
    <fb>92212</fb>
    <v>25</v>
  </rv>
  <rv s="3">
    <v>13</v>
    <v>92</v>
    <v>132</v>
    <v>6</v>
    <v>0</v>
    <v>Image of Portugal</v>
  </rv>
  <rv s="0">
    <v>805306368</v>
    <v>António Costa (Prime Minister)</v>
    <v>461f25f6-d38c-4199-a2e3-c82f6d34e8cb</v>
    <v>en-GB</v>
    <v>Generic</v>
  </rv>
  <rv s="0">
    <v>805306368</v>
    <v>Marcelo Rebelo de Sousa (President)</v>
    <v>cd15af88-d571-7e9f-0e69-8c7f54821ed3</v>
    <v>en-GB</v>
    <v>Generic</v>
  </rv>
  <rv s="2">
    <v>38</v>
  </rv>
  <rv s="2">
    <v>39</v>
  </rv>
  <rv s="1">
    <fb>10269417</fb>
    <v>25</v>
  </rv>
  <rv s="1">
    <fb>0.41600000000000004</fb>
    <v>24</v>
  </rv>
  <rv s="1">
    <fb>2.7000000000000003E-2</fb>
    <v>24</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40</v>
  </rv>
  <rv s="2">
    <v>41</v>
  </rv>
  <rv s="12">
    <v>#VALUE!</v>
    <v>en-GB</v>
    <v>9e917e65-c588-a0b7-f336-52fc6b5b2052</v>
    <v>536870912</v>
    <v>1</v>
    <v>130</v>
    <v>103</v>
    <v>Portugal</v>
    <v>90</v>
    <v>104</v>
    <v>Map</v>
    <v>92</v>
    <v>131</v>
    <v>PT</v>
    <v>237</v>
    <v>601</v>
    <v>189</v>
    <v>236</v>
    <v>209</v>
    <v>593</v>
    <v>190</v>
    <v>194</v>
    <v>238</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188</v>
    <v>235</v>
    <v>179</v>
    <v>187</v>
    <v>210</v>
    <v>200</v>
    <v>196</v>
    <v>195</v>
    <v>602</v>
    <v>105</v>
    <v>593</v>
    <v>605</v>
    <v>197</v>
    <v>180</v>
    <v>182</v>
    <v>10</v>
    <v>211</v>
    <v>Portugal</v>
    <v>A Portuguesa</v>
    <v>606</v>
    <v>Portugal</v>
    <v>212</v>
    <v>199</v>
    <v>607</v>
    <v>206</v>
    <v>205</v>
    <v>608</v>
    <v>609</v>
    <v>204</v>
    <v>207</v>
    <v>208</v>
    <v>203</v>
    <v>629</v>
    <v>191</v>
    <v>630</v>
    <v>177</v>
    <v>234</v>
    <v>Portugal</v>
    <v>202</v>
    <v>mdp/vdpid/193</v>
  </rv>
  <rv s="0">
    <v>536870912</v>
    <v>Berlin</v>
    <v>42784943-7c23-7672-5527-06f89b965cdf</v>
    <v>en-GB</v>
    <v>Map</v>
  </rv>
  <rv s="1">
    <fb>891.85</fb>
    <v>25</v>
  </rv>
  <rv s="0">
    <v>536870912</v>
    <v>Germany</v>
    <v>75c62d8e-1449-4e4d-b188-d9e88f878dd9</v>
    <v>en-GB</v>
    <v>Map</v>
  </rv>
  <rv s="0">
    <v>805306368</v>
    <v>Franziska Giffey (Mayor)</v>
    <v>0f36a115-cd69-74b0-1ad8-5ee6074d7916</v>
    <v>en-GB</v>
    <v>Generic</v>
  </rv>
  <rv s="2">
    <v>42</v>
  </rv>
  <rv s="4">
    <v>https://www.bing.com/search?q=berlin+germany&amp;form=skydnc</v>
    <v>Learn more on Bing</v>
  </rv>
  <rv s="1">
    <fb>3769495</fb>
    <v>25</v>
  </rv>
  <rv s="2">
    <v>43</v>
  </rv>
  <rv s="15">
    <v>#VALUE!</v>
    <v>en-GB</v>
    <v>42784943-7c23-7672-5527-06f89b965cdf</v>
    <v>536870912</v>
    <v>1</v>
    <v>135</v>
    <v>136</v>
    <v>Berlin</v>
    <v>90</v>
    <v>91</v>
    <v>Map</v>
    <v>92</v>
    <v>137</v>
    <v>DE-BE</v>
    <v>633</v>
    <v>634</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145</v>
    <v>148</v>
    <v>636</v>
    <v>637</v>
    <v>Berlin</v>
    <v>146</v>
    <v>638</v>
    <v>639</v>
    <v>Berlin</v>
    <v>mdp/vdpid/7017957146650214401</v>
  </rv>
  <rv s="1">
    <fb>357022</fb>
    <v>25</v>
  </rv>
  <rv s="3">
    <v>14</v>
    <v>92</v>
    <v>144</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44</v>
  </rv>
  <rv s="2">
    <v>45</v>
  </rv>
  <rv s="1">
    <fb>83132799</fb>
    <v>25</v>
  </rv>
  <rv s="1">
    <fb>0.39600000000000002</fb>
    <v>24</v>
  </rv>
  <rv s="1">
    <fb>2.8999999999999998E-2</fb>
    <v>24</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46</v>
  </rv>
  <rv s="2">
    <v>47</v>
  </rv>
  <rv s="12">
    <v>#VALUE!</v>
    <v>en-GB</v>
    <v>75c62d8e-1449-4e4d-b188-d9e88f878dd9</v>
    <v>536870912</v>
    <v>1</v>
    <v>142</v>
    <v>103</v>
    <v>Germany</v>
    <v>90</v>
    <v>104</v>
    <v>Map</v>
    <v>92</v>
    <v>143</v>
    <v>DE</v>
    <v>136</v>
    <v>641</v>
    <v>94</v>
    <v>135</v>
    <v>115</v>
    <v>632</v>
    <v>95</v>
    <v>99</v>
    <v>137</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93</v>
    <v>134</v>
    <v>84</v>
    <v>92</v>
    <v>35</v>
    <v>106</v>
    <v>101</v>
    <v>100</v>
    <v>642</v>
    <v>105</v>
    <v>632</v>
    <v>646</v>
    <v>102</v>
    <v>85</v>
    <v>87</v>
    <v>91</v>
    <v>116</v>
    <v>Germany</v>
    <v>Deutschlandlied</v>
    <v>647</v>
    <v>Federal Republic of Germany</v>
    <v>117</v>
    <v>104</v>
    <v>648</v>
    <v>112</v>
    <v>111</v>
    <v>649</v>
    <v>650</v>
    <v>110</v>
    <v>113</v>
    <v>114</v>
    <v>109</v>
    <v>665</v>
    <v>96</v>
    <v>666</v>
    <v>82</v>
    <v>133</v>
    <v>Germany</v>
    <v>108</v>
    <v>mdp/vdpid/94</v>
  </rv>
  <rv s="0">
    <v>536870912</v>
    <v>Paris</v>
    <v>85584d24-2116-5b98-89f9-5714db931ac6</v>
    <v>en-GB</v>
    <v>Map</v>
  </rv>
  <rv s="0">
    <v>536870912</v>
    <v>Île-de-France</v>
    <v>ba200862-fc37-6d22-3434-c6e709faa507</v>
    <v>en-GB</v>
    <v>Map</v>
  </rv>
  <rv s="0">
    <v>536870912</v>
    <v>France</v>
    <v>c7bfe2de-4f82-e23c-ae42-8544b5b5c0ea</v>
    <v>en-GB</v>
    <v>Map</v>
  </rv>
  <rv s="1">
    <fb>48.856895000000002</fb>
    <v>38</v>
  </rv>
  <rv s="0">
    <v>805306368</v>
    <v>Anne Hidalgo (Mayor)</v>
    <v>f26212ed-b25d-e4f8-ecf0-85777b9d38cf</v>
    <v>en-GB</v>
    <v>Generic</v>
  </rv>
  <rv s="2">
    <v>48</v>
  </rv>
  <rv s="4">
    <v>https://www.bing.com/search?q=paris+france&amp;form=skydnc</v>
    <v>Learn more on Bing</v>
  </rv>
  <rv s="1">
    <fb>2.3508486999999998</fb>
    <v>38</v>
  </rv>
  <rv s="1">
    <fb>2244000</fb>
    <v>25</v>
  </rv>
  <rv s="13">
    <v>#VALUE!</v>
    <v>en-GB</v>
    <v>85584d24-2116-5b98-89f9-5714db931ac6</v>
    <v>536870912</v>
    <v>1</v>
    <v>150</v>
    <v>111</v>
    <v>Paris</v>
    <v>90</v>
    <v>91</v>
    <v>Map</v>
    <v>92</v>
    <v>151</v>
    <v>669</v>
    <v>70</v>
    <v>670</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671</v>
    <v>673</v>
    <v>674</v>
    <v>675</v>
    <v>Paris</v>
    <v>676</v>
    <v>536</v>
    <v>Paris</v>
    <v>mdp/vdpid/7012570570818584578</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49</v>
  </rv>
  <rv s="2">
    <v>50</v>
  </rv>
  <rv s="1">
    <fb>67059887</fb>
    <v>25</v>
  </rv>
  <rv s="1">
    <fb>0.4</fb>
    <v>24</v>
  </rv>
  <rv s="1">
    <fb>3.2000000000000001E-2</fb>
    <v>24</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51</v>
  </rv>
  <rv s="16">
    <v>#VALUE!</v>
    <v>en-GB</v>
    <v>c7bfe2de-4f82-e23c-ae42-8544b5b5c0ea</v>
    <v>536870912</v>
    <v>1</v>
    <v>155</v>
    <v>156</v>
    <v>France</v>
    <v>90</v>
    <v>91</v>
    <v>Map</v>
    <v>92</v>
    <v>157</v>
    <v>FR</v>
    <v>67</v>
    <v>2</v>
    <v>13</v>
    <v>66</v>
    <v>34</v>
    <v>668</v>
    <v>14</v>
    <v>18</v>
    <v>68</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12</v>
    <v>65</v>
    <v>3</v>
    <v>11</v>
    <v>35</v>
    <v>25</v>
    <v>20</v>
    <v>19</v>
    <v>24</v>
    <v>668</v>
    <v>684</v>
    <v>21</v>
    <v>4</v>
    <v>6</v>
    <v>10</v>
    <v>36</v>
    <v>France</v>
    <v>La Marseillaise</v>
    <v>685</v>
    <v>French Republic</v>
    <v>37</v>
    <v>23</v>
    <v>686</v>
    <v>31</v>
    <v>30</v>
    <v>687</v>
    <v>688</v>
    <v>29</v>
    <v>32</v>
    <v>33</v>
    <v>28</v>
    <v>802</v>
    <v>15</v>
    <v>666</v>
    <v>1</v>
    <v>64</v>
    <v>France</v>
    <v>27</v>
    <v>mdp/vdpid/84</v>
  </rv>
  <rv s="2">
    <v>52</v>
  </rv>
  <rv s="2">
    <v>53</v>
  </rv>
  <rv s="17">
    <v>{2E4902D1-FA6B-40BA-A79E-21C13339BDEE}</v>
    <v>0</v>
    <v>158</v>
    <v>804</v>
    <v>805</v>
  </rv>
  <rv s="2">
    <v>54</v>
  </rv>
  <rv s="2">
    <v>55</v>
  </rv>
  <rv s="18">
    <v>{45D996CC-D6E7-44C2-9260-04B9E4281C9B}</v>
    <v>0</v>
    <v>159</v>
    <v>807</v>
    <v>808</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breviazione" t="s"/>
    <k n="Aliquota fiscale totale" t="r"/>
    <k n="Area" t="r"/>
    <k n="Area boschiva (%)" t="r"/>
    <k n="Aspettativa di vita" t="r"/>
    <k n="Capitale/città principale" t="r"/>
    <k n="Capitalizzazione di mercato delle società quotate" t="r"/>
    <k n="Capo/i" t="r"/>
    <k n="Codice valuta" t="s"/>
    <k n="Coefficiente di mortalità materna" t="r"/>
    <k n="Consumo di energia da combustibili fossili" t="r"/>
    <k n="Consumo di energia elettrica" t="r"/>
    <k n="Descrizione" t="s"/>
    <k n="Dimensione delle forze armate" t="r"/>
    <k n="Emissioni di diossido di carbonio" t="r"/>
    <k n="Entrate fiscali (%)" t="r"/>
    <k n="Fusi orari" t="r"/>
    <k n="Immagine" t="r"/>
    <k n="Inno nazionale" t="s"/>
    <k n="IPC" t="r"/>
    <k n="Iscrizione lorda all'istruzione di terzo livello (%)" t="r"/>
    <k n="Iscrizione lorda all'istruzione primaria (%)" t="r"/>
    <k n="La città più grande" t="r"/>
    <k n="LearnMoreOnLink" t="r"/>
    <k n="Lingua ufficiale" t="r"/>
    <k n="Medici per mille" t="r"/>
    <k n="Mortalità infantile" t="r"/>
    <k n="Nome" t="s"/>
    <k n="Nome ufficiale" t="s"/>
    <k n="PIL" t="r"/>
    <k n="Popolazione" t="r"/>
    <k n="Popolazione urbana" t="r"/>
    <k n="Popolazione: partecipazione alla forza lavoro (%)" t="r"/>
    <k n="Popolazione: quota di reddito 20%più basso" t="r"/>
    <k n="Popolazione: quota di reddito del 20%più alto" t="r"/>
    <k n="Popolazione: Quota di reddito quarto 20%" t="r"/>
    <k n="Popolazione: quota di reddito secondo20%" t="r"/>
    <k n="Popolazione: quota di reddito terzo 20%" t="r"/>
    <k n="Prefisso telefonico" t="r"/>
    <k n="Prezzo della benzina" t="r"/>
    <k n="Salario minimo" t="r"/>
    <k n="Spese sanitarie non coperte da assicurazione o mutua (%)" t="r"/>
    <k n="Suddivisioni" t="r"/>
    <k n="Tasso di disoccupazione" t="r"/>
    <k n="Tasso di fertilità" t="r"/>
    <k n="Tasso di natalità" t="r"/>
    <k n="Terreno agricolo (%)" t="r"/>
    <k n="UniqueName" t="s"/>
    <k n="Variazione dell'IPC (%)" t="r"/>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rea" t="r"/>
    <k n="Capo/i" t="r"/>
    <k n="Descrizione" t="s"/>
    <k n="Divisione amministrativa 1 (Stato / provincia / altro)" t="r"/>
    <k n="Divisione amministrativa 2 (Paese/ distretto/ altro)" t="r"/>
    <k n="Fusi orari" t="r"/>
    <k n="Immagine" t="r"/>
    <k n="Latitudine" t="r"/>
    <k n="LearnMoreOnLink" t="r"/>
    <k n="Longitudine" t="r"/>
    <k n="Nome" t="s"/>
    <k n="Paese/area geografica" t="r"/>
    <k n="Popolazion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breviazione" t="s"/>
    <k n="Area" t="r"/>
    <k n="Capo/i" t="r"/>
    <k n="Descrizione" t="s"/>
    <k n="Immagine" t="r"/>
    <k n="LearnMoreOnLink" t="r"/>
    <k n="Lingua ufficiale" t="r"/>
    <k n="Nome" t="s"/>
    <k n="Nuclei famigliari" t="r"/>
    <k n="Paese/area geografica" t="r"/>
    <k n="Persone per nucleo famigliare" t="r"/>
    <k n="Popolazione" t="r"/>
    <k n="UniqueName" t="s"/>
    <k n="Unità abitative" t="r"/>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breviazione" t="s"/>
    <k n="Area" t="r"/>
    <k n="Capitale/città principale" t="r"/>
    <k n="Capo/i" t="r"/>
    <k n="Descrizione" t="s"/>
    <k n="Fusi orari" t="r"/>
    <k n="Immagine" t="r"/>
    <k n="La città più grande" t="r"/>
    <k n="LearnMoreOnLink" t="r"/>
    <k n="Lingua ufficiale" t="r"/>
    <k n="Nome" t="s"/>
    <k n="Nuclei famigliari" t="r"/>
    <k n="Paese/area geografica" t="r"/>
    <k n="Persone per nucleo famigliare" t="r"/>
    <k n="Popolazione" t="r"/>
    <k n="UniqueName" t="s"/>
    <k n="Unità abitative" t="r"/>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rea" t="r"/>
    <k n="Descrizione" t="s"/>
    <k n="Divisione amministrativa 1 (Stato / provincia / altro)" t="r"/>
    <k n="Immagine" t="r"/>
    <k n="LearnMoreOnLink" t="r"/>
    <k n="Nome" t="s"/>
    <k n="Paese/area geografica" t="r"/>
    <k n="Popolazion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rea" t="r"/>
    <k n="Capo/i" t="r"/>
    <k n="Descrizione" t="s"/>
    <k n="Divisione amministrativa 1 (Stato / provincia / altro)" t="r"/>
    <k n="Fusi orari" t="r"/>
    <k n="Immagine" t="r"/>
    <k n="Latitudine" t="r"/>
    <k n="LearnMoreOnLink" t="r"/>
    <k n="Longitudine" t="r"/>
    <k n="Nome" t="s"/>
    <k n="Paese/area geografica" t="r"/>
    <k n="Popolazione"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datasourcecontainer">
    <k n="%XLUID" t="s"/>
    <k n="_CRID" t="i"/>
    <k n="_Display" t="spb"/>
    <k n="City" t="r"/>
    <k n="Paese/area geografica" t="r"/>
  </s>
  <s t="_datasourcecontainer">
    <k n="%XLUID" t="s"/>
    <k n="_CRID" t="i"/>
    <k n="_Display" t="spb"/>
    <k n="City" t="r"/>
    <k n="Country" t="r"/>
  </s>
</rvStructures>
</file>

<file path=xl/richData/rdsupportingpropertybag.xml><?xml version="1.0" encoding="utf-8"?>
<supportingPropertyBags xmlns="http://schemas.microsoft.com/office/spreadsheetml/2017/richdata2">
  <spbArrays count="14">
    <a count="63">
      <v t="s">%EntityServiceId</v>
      <v t="s">%IsRefreshable</v>
      <v t="s">_CanonicalPropertyNames</v>
      <v t="s">%EntityCulture</v>
      <v t="s">%EntityId</v>
      <v t="s">_Icon</v>
      <v t="s">_Provider</v>
      <v t="s">_Attribution</v>
      <v t="s">_Display</v>
      <v t="s">Nome</v>
      <v t="s">_Format</v>
      <v t="s">Capitale/città principale</v>
      <v t="s">Capo/i</v>
      <v t="s">_SubLabel</v>
      <v t="s">Popolazione</v>
      <v t="s">Area</v>
      <v t="s">Abbreviazione</v>
      <v t="s">PIL</v>
      <v t="s">Codice valuta</v>
      <v t="s">La città più grande</v>
      <v t="s">Inno nazionale</v>
      <v t="s">Lingua ufficiale</v>
      <v t="s">Nome ufficiale</v>
      <v t="s">Suddivisioni</v>
      <v t="s">Aspettativa di vita</v>
      <v t="s">Tasso di natalità</v>
      <v t="s">Tasso di fertilità</v>
      <v t="s">Mortalità infantile</v>
      <v t="s">Coefficiente di mortalità materna</v>
      <v t="s">Popolazione urbana</v>
      <v t="s">Terreno agricolo (%)</v>
      <v t="s">Area boschiva (%)</v>
      <v t="s">Emissioni di diossido di carbonio</v>
      <v t="s">Consumo di energia da combustibili fossili</v>
      <v t="s">Prezzo della benzina</v>
      <v t="s">Consumo di energia elettrica</v>
      <v t="s">IPC</v>
      <v t="s">Variazione dell'IPC (%)</v>
      <v t="s">Popolazione: quota di reddito del 20%più alto</v>
      <v t="s">Popolazione: quota di reddito secondo20%</v>
      <v t="s">Popolazione: quota di reddito terzo 20%</v>
      <v t="s">Popolazione: Quota di reddito quarto 20%</v>
      <v t="s">Popolazione: quota di reddito 20%più basso</v>
      <v t="s">Popolazione: partecipazione alla forza lavoro (%)</v>
      <v t="s">Salario minimo</v>
      <v t="s">Entrate fiscali (%)</v>
      <v t="s">Aliquota fiscale totale</v>
      <v t="s">Tasso di disoccupazione</v>
      <v t="s">Capitalizzazione di mercato delle società quotate</v>
      <v t="s">Iscrizione lorda all'istruzione primaria (%)</v>
      <v t="s">Iscrizione lorda all'istruzione di terzo livello (%)</v>
      <v t="s">Spese sanitarie non coperte da assicurazione o mutua (%)</v>
      <v t="s">Medici per mille</v>
      <v t="s">Dimensione delle forze armate</v>
      <v t="s">Fusi orari</v>
      <v t="s">Prefisso telefonico</v>
      <v t="s">_Flags</v>
      <v t="s">VDPID/VSID</v>
      <v t="s">UniqueName</v>
      <v t="s">_DisplayString</v>
      <v t="s">LearnMoreOnLink</v>
      <v t="s">Immagine</v>
      <v t="s">Descrizione</v>
    </a>
    <a count="28">
      <v t="s">%EntityServiceId</v>
      <v t="s">%IsRefreshable</v>
      <v t="s">_CanonicalPropertyNames</v>
      <v t="s">%EntityCulture</v>
      <v t="s">%EntityId</v>
      <v t="s">_Icon</v>
      <v t="s">_Provider</v>
      <v t="s">_Attribution</v>
      <v t="s">_Display</v>
      <v t="s">Nome</v>
      <v t="s">_Format</v>
      <v t="s">Divisione amministrativa 2 (Paese/ distretto/ altro)</v>
      <v t="s">Divisione amministrativa 1 (Stato / provincia / altro)</v>
      <v t="s">Paese/area geografica</v>
      <v t="s">Capo/i</v>
      <v t="s">_SubLabel</v>
      <v t="s">Popolazione</v>
      <v t="s">Area</v>
      <v t="s">Latitudine</v>
      <v t="s">Longitudine</v>
      <v t="s">Fusi orari</v>
      <v t="s">_Flags</v>
      <v t="s">VDPID/VSID</v>
      <v t="s">UniqueName</v>
      <v t="s">_DisplayString</v>
      <v t="s">LearnMoreOnLink</v>
      <v t="s">Immagine</v>
      <v t="s">Descrizione</v>
    </a>
    <a count="28">
      <v t="s">%EntityServiceId</v>
      <v t="s">%IsRefreshable</v>
      <v t="s">_CanonicalPropertyNames</v>
      <v t="s">%EntityCulture</v>
      <v t="s">%EntityId</v>
      <v t="s">_Icon</v>
      <v t="s">_Provider</v>
      <v t="s">_Attribution</v>
      <v t="s">_Display</v>
      <v t="s">Nome</v>
      <v t="s">_Format</v>
      <v t="s">Capo/i</v>
      <v t="s">Paese/area geografica</v>
      <v t="s">_SubLabel</v>
      <v t="s">Popolazione</v>
      <v t="s">Area</v>
      <v t="s">Abbreviazione</v>
      <v t="s">Lingua ufficiale</v>
      <v t="s">Nuclei famigliari</v>
      <v t="s">Unità abitative</v>
      <v t="s">Persone per nucleo famigliare</v>
      <v t="s">_Flags</v>
      <v t="s">VDPID/VSID</v>
      <v t="s">UniqueName</v>
      <v t="s">_DisplayString</v>
      <v t="s">LearnMoreOnLink</v>
      <v t="s">Immagine</v>
      <v t="s">Descrizione</v>
    </a>
    <a count="31">
      <v t="s">%EntityServiceId</v>
      <v t="s">%IsRefreshable</v>
      <v t="s">_CanonicalPropertyNames</v>
      <v t="s">%EntityCulture</v>
      <v t="s">%EntityId</v>
      <v t="s">_Icon</v>
      <v t="s">_Provider</v>
      <v t="s">_Attribution</v>
      <v t="s">_Display</v>
      <v t="s">Nome</v>
      <v t="s">_Format</v>
      <v t="s">Capitale/città principale</v>
      <v t="s">Capo/i</v>
      <v t="s">Paese/area geografica</v>
      <v t="s">_SubLabel</v>
      <v t="s">Popolazione</v>
      <v t="s">Area</v>
      <v t="s">Abbreviazione</v>
      <v t="s">La città più grande</v>
      <v t="s">Lingua ufficiale</v>
      <v t="s">Nuclei famigliari</v>
      <v t="s">Unità abitative</v>
      <v t="s">Persone per nucleo famigliare</v>
      <v t="s">Fusi orari</v>
      <v t="s">_Flags</v>
      <v t="s">VDPID/VSID</v>
      <v t="s">UniqueName</v>
      <v t="s">_DisplayString</v>
      <v t="s">LearnMoreOnLink</v>
      <v t="s">Immagine</v>
      <v t="s">Descrizione</v>
    </a>
    <a count="23">
      <v t="s">%EntityServiceId</v>
      <v t="s">%IsRefreshable</v>
      <v t="s">_CanonicalPropertyNames</v>
      <v t="s">%EntityCulture</v>
      <v t="s">%EntityId</v>
      <v t="s">_Icon</v>
      <v t="s">_Provider</v>
      <v t="s">_Attribution</v>
      <v t="s">_Display</v>
      <v t="s">Nome</v>
      <v t="s">_Format</v>
      <v t="s">Divisione amministrativa 1 (Stato / provincia / altro)</v>
      <v t="s">Paese/area geografica</v>
      <v t="s">_SubLabel</v>
      <v t="s">Popolazione</v>
      <v t="s">Area</v>
      <v t="s">_Flags</v>
      <v t="s">VDPID/VSID</v>
      <v t="s">UniqueName</v>
      <v t="s">_DisplayString</v>
      <v t="s">LearnMoreOnLink</v>
      <v t="s">Immagine</v>
      <v t="s">Descrizione</v>
    </a>
    <a count="27">
      <v t="s">%EntityServiceId</v>
      <v t="s">%IsRefreshable</v>
      <v t="s">_CanonicalPropertyNames</v>
      <v t="s">%EntityCulture</v>
      <v t="s">%EntityId</v>
      <v t="s">_Icon</v>
      <v t="s">_Provider</v>
      <v t="s">_Attribution</v>
      <v t="s">_Display</v>
      <v t="s">Nome</v>
      <v t="s">_Format</v>
      <v t="s">Divisione amministrativa 1 (Stato / provincia / altro)</v>
      <v t="s">Paese/area geografica</v>
      <v t="s">Capo/i</v>
      <v t="s">_SubLabel</v>
      <v t="s">Popolazione</v>
      <v t="s">Area</v>
      <v t="s">Latitudine</v>
      <v t="s">Longitudine</v>
      <v t="s">Fusi orari</v>
      <v t="s">_Flags</v>
      <v t="s">VDPID/VSID</v>
      <v t="s">UniqueName</v>
      <v t="s">_DisplayString</v>
      <v t="s">LearnMoreOnLink</v>
      <v t="s">Immagine</v>
      <v t="s">Descrizione</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
      <v t="s">City</v>
      <v t="s">Paese/area geografica</v>
      <v t="s">_CRID</v>
      <v t="s">%XLUID</v>
      <v t="s">_Display</v>
    </a>
    <a count="5">
      <v t="s">City</v>
      <v t="s">Country</v>
      <v t="s">_CRID</v>
      <v t="s">%XLUID</v>
      <v t="s">_Display</v>
    </a>
  </spbArrays>
  <spbData count="160">
    <spb s="0">
      <v xml:space="preserve">data.worldbank.org	</v>
      <v xml:space="preserve">	</v>
      <v xml:space="preserve">http://data.worldbank.org/indicator/FP.CPI.TOTL	</v>
      <v xml:space="preserve">	</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data.worldbank.org	</v>
      <v xml:space="preserve">	</v>
      <v xml:space="preserve">http://data.worldbank.org/indicator/SH.MED.PHYS.ZS	</v>
      <v xml:space="preserve">	</v>
    </spb>
    <spb s="0">
      <v xml:space="preserve">Cia	</v>
      <v xml:space="preserve">	</v>
      <v xml:space="preserve">https://www.cia.gov/library/publications/the-world-factbook/geos/fr.html?Transportation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
      <v>0</v>
      <v>1</v>
      <v>2</v>
      <v>2</v>
      <v>2</v>
      <v>2</v>
      <v>2</v>
      <v>3</v>
      <v>2</v>
      <v>2</v>
      <v>2</v>
      <v>3</v>
      <v>4</v>
      <v>5</v>
      <v>6</v>
      <v>7</v>
      <v>8</v>
      <v>9</v>
      <v>5</v>
      <v>2</v>
      <v>10</v>
      <v>2</v>
      <v>1</v>
      <v>5</v>
      <v>5</v>
      <v>5</v>
      <v>5</v>
      <v>2</v>
      <v>11</v>
      <v>12</v>
      <v>13</v>
      <v>14</v>
      <v>5</v>
      <v>5</v>
      <v>5</v>
      <v>5</v>
      <v>5</v>
      <v>5</v>
      <v>5</v>
      <v>1</v>
      <v>15</v>
      <v>5</v>
      <v>5</v>
    </spb>
    <spb s="2">
      <v>CPI</v>
      <v>GDP</v>
      <v>Area</v>
      <v>Name</v>
      <v>Image</v>
      <v>UniqueName</v>
      <v>VDPID/VSID</v>
      <v>Description</v>
      <v>Population</v>
      <v>Abbreviation</v>
      <v>Currency code</v>
      <v>National anthem</v>
      <v>Official name</v>
      <v>Minimum wage</v>
      <v>LearnMoreOnLink</v>
      <v>Physicians per thousand</v>
      <v>Forested area (%)</v>
      <v>Birth rate</v>
      <v>Urban population</v>
      <v>Fertility rate</v>
      <v>Life expectancy</v>
      <v>Tax revenue (%)</v>
      <v>Largest city</v>
      <v>Infant mortality</v>
      <v>Calling code</v>
      <v>Gasoline price</v>
      <v>Agricultural land (%)</v>
      <v>Total tax rate</v>
      <v>Unemployment rate</v>
      <v>CPI Change (%)</v>
      <v>Capital/Major City</v>
      <v>Electric power consumption</v>
      <v>Armed forces size</v>
      <v>Maternal mortality ratio</v>
      <v>Carbon dioxide emissions</v>
      <v>Population: Income share third 20%</v>
      <v>Population: Income share fourth 20%</v>
      <v>Population: Income share second 20%</v>
      <v>Fossil fuel energy consumption</v>
      <v>Population: Income share lowest 10%</v>
      <v>Gross primary education enrollment (%)</v>
      <v>Population: Income share highest 20%</v>
      <v>Market cap of listed companies</v>
      <v>Population: Labor force participation (%)</v>
      <v>Gross tertiary education enrollment (%)</v>
      <v>Out of pocket health expenditure (%)</v>
    </spb>
    <spb s="3">
      <v>0</v>
      <v>Name</v>
      <v>LearnMoreOnLink</v>
    </spb>
    <spb s="4">
      <v>0</v>
      <v>0</v>
      <v>0</v>
    </spb>
    <spb s="5">
      <v>19</v>
      <v>19</v>
      <v>19</v>
    </spb>
    <spb s="6">
      <v>1</v>
      <v>2</v>
    </spb>
    <spb s="7">
      <v>https://www.bing.com</v>
      <v>https://www.bing.com/th?id=Ga%5Cbing_yt.png&amp;w=100&amp;h=40&amp;c=0&amp;pid=0.1</v>
      <v>Con tecnologia Bing</v>
    </spb>
    <spb s="8">
      <v>2019</v>
      <v>2019</v>
      <v>km quadrati</v>
      <v>2021</v>
      <v>2018</v>
      <v>2016</v>
      <v>per mille (2018)</v>
      <v>2019</v>
      <v>2018</v>
      <v>anni (2018)</v>
      <v>2018</v>
      <v>per mille (2018)</v>
      <v>al litro (2016)</v>
      <v>2016</v>
      <v>2019</v>
      <v>2019</v>
      <v>2019</v>
      <v>kWh (2014)</v>
      <v>2017</v>
      <v>morti per 100.000 (2017)</v>
      <v>chiloton all'anno (2014)</v>
      <v>2017</v>
      <v>2017</v>
      <v>2017</v>
      <v>2015</v>
      <v>2017</v>
      <v>2017</v>
      <v>2017</v>
      <v>2018</v>
      <v>2019</v>
      <v>2017</v>
      <v>2015</v>
    </spb>
    <spb s="9">
      <v>3</v>
    </spb>
    <spb s="9">
      <v>4</v>
    </spb>
    <spb s="9">
      <v>5</v>
    </spb>
    <spb s="9">
      <v>6</v>
    </spb>
    <spb s="9">
      <v>7</v>
    </spb>
    <spb s="9">
      <v>8</v>
    </spb>
    <spb s="9">
      <v>9</v>
    </spb>
    <spb s="9">
      <v>10</v>
    </spb>
    <spb s="9">
      <v>11</v>
    </spb>
    <spb s="0">
      <v xml:space="preserve">Wikipedia	</v>
      <v xml:space="preserve">CC BY-SA 3.0	</v>
      <v xml:space="preserve">https://it.wikipedia.org/wiki/Parigi	</v>
      <v xml:space="preserve">https://creativecommons.org/licenses/by-sa/3.0	</v>
    </spb>
    <spb s="10">
      <v>33</v>
      <v>33</v>
      <v>33</v>
      <v>33</v>
      <v>33</v>
      <v>33</v>
      <v>33</v>
      <v>33</v>
      <v>33</v>
      <v>33</v>
    </spb>
    <spb s="11">
      <v>Area</v>
      <v>Name</v>
      <v>Image</v>
      <v>Latitude</v>
      <v>UniqueName</v>
      <v>VDPID/VSID</v>
      <v>Description</v>
      <v>Longitude</v>
      <v>Population</v>
      <v>LearnMoreOnLink</v>
      <v>Country/region</v>
      <v>Admin Division 2 (County/district/other)</v>
      <v>Admin Division 1 (State/province/other)</v>
    </spb>
    <spb s="3">
      <v>1</v>
      <v>Name</v>
      <v>LearnMoreOnLink</v>
    </spb>
    <spb s="12">
      <v>km quadrati</v>
      <v>2025</v>
    </spb>
    <spb s="9">
      <v>12</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39</v>
      <v>40</v>
      <v>40</v>
      <v>40</v>
      <v>40</v>
      <v>40</v>
      <v>41</v>
      <v>40</v>
      <v>40</v>
      <v>40</v>
      <v>41</v>
      <v>4</v>
      <v>42</v>
      <v>6</v>
      <v>7</v>
      <v>8</v>
      <v>9</v>
      <v>42</v>
      <v>40</v>
      <v>10</v>
      <v>40</v>
      <v>39</v>
      <v>42</v>
      <v>42</v>
      <v>42</v>
      <v>42</v>
      <v>40</v>
      <v>11</v>
      <v>12</v>
      <v>13</v>
      <v>14</v>
      <v>42</v>
      <v>42</v>
      <v>42</v>
      <v>42</v>
      <v>42</v>
      <v>42</v>
      <v>42</v>
      <v>39</v>
      <v>15</v>
      <v>42</v>
      <v>42</v>
    </spb>
    <spb s="8">
      <v>2019</v>
      <v>2019</v>
      <v>km quadrati</v>
      <v>2022</v>
      <v>2017</v>
      <v>2016</v>
      <v>per mille (2018)</v>
      <v>2019</v>
      <v>2018</v>
      <v>anni (2018)</v>
      <v>2018</v>
      <v>per mille (2018)</v>
      <v>al litro (2016)</v>
      <v>2016</v>
      <v>2019</v>
      <v>2019</v>
      <v>2019</v>
      <v>kWh (2014)</v>
      <v>2017</v>
      <v>morti per 100.000 (2017)</v>
      <v>chiloton all'anno (2016)</v>
      <v>2016</v>
      <v>2016</v>
      <v>2016</v>
      <v>2015</v>
      <v>2016</v>
      <v>2017</v>
      <v>2016</v>
      <v>2019</v>
      <v>2019</v>
      <v>2017</v>
      <v>2015</v>
    </spb>
    <spb s="0">
      <v xml:space="preserve">Wikipedia	</v>
      <v xml:space="preserve">CC BY-SA 3.0	</v>
      <v xml:space="preserve">https://it.wikipedia.org/wiki/Berlino	</v>
      <v xml:space="preserve">https://creativecommons.org/licenses/by-sa/3.0	</v>
    </spb>
    <spb s="0">
      <v xml:space="preserve">Wikipedia	</v>
      <v xml:space="preserve">CC-BY-SA	</v>
      <v xml:space="preserve">http://en.wikipedia.org/wiki/Berlin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13">
      <v>45</v>
      <v>45</v>
      <v>45</v>
      <v>45</v>
      <v>45</v>
      <v>46</v>
      <v>47</v>
      <v>47</v>
      <v>45</v>
      <v>47</v>
    </spb>
    <spb s="14">
      <v>Area</v>
      <v>Name</v>
      <v>Image</v>
      <v>UniqueName</v>
      <v>VDPID/VSID</v>
      <v>Description</v>
      <v>Population</v>
      <v>Abbreviation</v>
      <v>LearnMoreOnLink</v>
      <v>Housing units</v>
      <v>Households</v>
      <v>Country/region</v>
      <v>Persons per household</v>
    </spb>
    <spb s="3">
      <v>2</v>
      <v>Name</v>
      <v>LearnMoreOnLink</v>
    </spb>
    <spb s="15">
      <v>km quadrati</v>
      <v>2022</v>
      <v>2011</v>
      <v>2011</v>
      <v>2011</v>
    </spb>
    <spb s="0">
      <v xml:space="preserve">Wikipedia	</v>
      <v xml:space="preserve">CC BY-SA 3.0	</v>
      <v xml:space="preserve">https://en.wikipedia.org/wiki/England	</v>
      <v xml:space="preserve">https://creativecommons.org/licenses/by-sa/3.0	</v>
    </spb>
    <spb s="0">
      <v xml:space="preserve">Wikipedia	</v>
      <v xml:space="preserve">CC-BY-SA	</v>
      <v xml:space="preserve">http://en.wikipedia.org/wiki/England	</v>
      <v xml:space="preserve">http://creativecommons.org/licenses/by-sa/3.0/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16">
      <v>52</v>
      <v>52</v>
      <v>52</v>
      <v>52</v>
      <v>52</v>
      <v>53</v>
      <v>54</v>
      <v>54</v>
      <v>52</v>
      <v>52</v>
      <v>52</v>
      <v>54</v>
    </spb>
    <spb s="17">
      <v>Area</v>
      <v>Name</v>
      <v>Image</v>
      <v>UniqueName</v>
      <v>VDPID/VSID</v>
      <v>Description</v>
      <v>Population</v>
      <v>Abbreviation</v>
      <v>LearnMoreOnLink</v>
      <v>Housing units</v>
      <v>Households</v>
      <v>Largest city</v>
      <v>Country/region</v>
      <v>Capital/Major City</v>
      <v>Persons per household</v>
    </spb>
    <spb s="3">
      <v>3</v>
      <v>Name</v>
      <v>LearnMoreOnLink</v>
    </spb>
    <spb s="0">
      <v xml:space="preserve">Wikipedia	</v>
      <v xml:space="preserve">CC BY-SA 3.0	</v>
      <v xml:space="preserve">https://it.wikipedia.org/wiki/Londra	</v>
      <v xml:space="preserve">https://creativecommons.org/licenses/by-sa/3.0	</v>
    </spb>
    <spb s="10">
      <v>58</v>
      <v>58</v>
      <v>58</v>
      <v>58</v>
      <v>58</v>
      <v>58</v>
      <v>58</v>
      <v>58</v>
      <v>58</v>
      <v>58</v>
    </spb>
    <spb s="12">
      <v>km quadrati</v>
      <v>2022</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61</v>
      <v>62</v>
      <v>62</v>
      <v>62</v>
      <v>62</v>
      <v>62</v>
      <v>63</v>
      <v>62</v>
      <v>62</v>
      <v>62</v>
      <v>63</v>
      <v>4</v>
      <v>64</v>
      <v>6</v>
      <v>7</v>
      <v>8</v>
      <v>9</v>
      <v>64</v>
      <v>62</v>
      <v>10</v>
      <v>62</v>
      <v>61</v>
      <v>64</v>
      <v>64</v>
      <v>64</v>
      <v>64</v>
      <v>62</v>
      <v>11</v>
      <v>12</v>
      <v>13</v>
      <v>14</v>
      <v>64</v>
      <v>64</v>
      <v>64</v>
      <v>64</v>
      <v>64</v>
      <v>64</v>
      <v>64</v>
      <v>61</v>
      <v>15</v>
      <v>64</v>
      <v>64</v>
    </spb>
    <spb s="8">
      <v>2019</v>
      <v>2019</v>
      <v>km quadrati</v>
      <v>2022</v>
      <v>2017</v>
      <v>2016</v>
      <v>per mille (2018)</v>
      <v>2019</v>
      <v>2018</v>
      <v>anni (2018)</v>
      <v>2018</v>
      <v>per mille (2018)</v>
      <v>al litro (2016)</v>
      <v>2016</v>
      <v>2019</v>
      <v>2019</v>
      <v>2019</v>
      <v>kWh (2014)</v>
      <v>2017</v>
      <v>morti per 100.000 (2017)</v>
      <v>chiloton all'anno (2016)</v>
      <v>2017</v>
      <v>2017</v>
      <v>2017</v>
      <v>2015</v>
      <v>2017</v>
      <v>2017</v>
      <v>2017</v>
      <v>2018</v>
      <v>2019</v>
      <v>2017</v>
      <v>2015</v>
    </spb>
    <spb s="0">
      <v xml:space="preserve">Wikipedia	</v>
      <v xml:space="preserve">CC BY-SA 3.0	</v>
      <v xml:space="preserve">https://it.wikipedia.org/wiki/Lisbona	</v>
      <v xml:space="preserve">https://creativecommons.org/licenses/by-sa/3.0	</v>
    </spb>
    <spb s="18">
      <v>67</v>
      <v>67</v>
      <v>67</v>
      <v>67</v>
      <v>67</v>
      <v>67</v>
      <v>67</v>
    </spb>
    <spb s="19">
      <v>Area</v>
      <v>Name</v>
      <v>Image</v>
      <v>UniqueName</v>
      <v>VDPID/VSID</v>
      <v>Description</v>
      <v>Population</v>
      <v>LearnMoreOnLink</v>
      <v>Country/region</v>
      <v>Admin Division 1 (State/province/other)</v>
    </spb>
    <spb s="3">
      <v>4</v>
      <v>Name</v>
      <v>LearnMoreOnLink</v>
    </spb>
    <spb s="12">
      <v>km quadrati</v>
      <v>2021</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72</v>
      <v>73</v>
      <v>73</v>
      <v>73</v>
      <v>73</v>
      <v>73</v>
      <v>74</v>
      <v>73</v>
      <v>73</v>
      <v>73</v>
      <v>74</v>
      <v>4</v>
      <v>75</v>
      <v>6</v>
      <v>7</v>
      <v>8</v>
      <v>9</v>
      <v>75</v>
      <v>73</v>
      <v>10</v>
      <v>73</v>
      <v>72</v>
      <v>75</v>
      <v>75</v>
      <v>75</v>
      <v>75</v>
      <v>73</v>
      <v>11</v>
      <v>12</v>
      <v>13</v>
      <v>14</v>
      <v>75</v>
      <v>75</v>
      <v>75</v>
      <v>75</v>
      <v>75</v>
      <v>75</v>
      <v>75</v>
      <v>72</v>
      <v>15</v>
      <v>75</v>
      <v>75</v>
    </spb>
    <spb s="8">
      <v>2019</v>
      <v>2019</v>
      <v>km quadrati</v>
      <v>2022</v>
      <v>2017</v>
      <v>2016</v>
      <v>per mille (2018)</v>
      <v>2019</v>
      <v>2018</v>
      <v>anni (2018)</v>
      <v>2018</v>
      <v>per mille (2018)</v>
      <v>al litro (2016)</v>
      <v>2016</v>
      <v>2019</v>
      <v>2019</v>
      <v>2019</v>
      <v>kWh (2014)</v>
      <v>2017</v>
      <v>morti per 100.000 (2017)</v>
      <v>chiloton all'anno (2016)</v>
      <v>2017</v>
      <v>2017</v>
      <v>2017</v>
      <v>2015</v>
      <v>2017</v>
      <v>2017</v>
      <v>2017</v>
      <v>2019</v>
      <v>2019</v>
      <v>2017</v>
      <v>2015</v>
    </spb>
    <spb s="0">
      <v xml:space="preserve">Wikipedia	</v>
      <v xml:space="preserve">CC BY-SA 3.0	</v>
      <v xml:space="preserve">https://it.wikipedia.org/wiki/Madrid	</v>
      <v xml:space="preserve">https://creativecommons.org/licenses/by-sa/3.0	</v>
    </spb>
    <spb s="20">
      <v>78</v>
      <v>78</v>
      <v>78</v>
      <v>78</v>
      <v>78</v>
      <v>78</v>
      <v>78</v>
      <v>78</v>
      <v>78</v>
    </spb>
    <spb s="21">
      <v>Area</v>
      <v>Name</v>
      <v>Image</v>
      <v>Latitude</v>
      <v>UniqueName</v>
      <v>VDPID/VSID</v>
      <v>Description</v>
      <v>Longitude</v>
      <v>Population</v>
      <v>LearnMoreOnLink</v>
      <v>Country/region</v>
      <v>Admin Division 1 (State/province/other)</v>
    </spb>
    <spb s="3">
      <v>5</v>
      <v>Name</v>
      <v>LearnMoreOnLink</v>
    </spb>
    <spb s="12">
      <v>km quadrati</v>
      <v>2018</v>
    </spb>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22">
      <v>83</v>
      <v>84</v>
      <v>83</v>
      <v>84</v>
      <v>83</v>
      <v>85</v>
      <v>86</v>
      <v>83</v>
    </spb>
    <spb s="3">
      <v>6</v>
      <v>Name</v>
      <v>LearnMoreOnLink</v>
    </spb>
    <spb s="23">
      <v>0</v>
      <v>0</v>
    </spb>
    <spb s="24">
      <v>19</v>
      <v>19</v>
      <v>89</v>
      <v>19</v>
    </spb>
    <spb s="25">
      <v>1</v>
      <v>13</v>
    </spb>
    <spb s="7">
      <v>https://www.bing.com</v>
      <v>https://www.bing.com/th?id=Ga%5Cbing_yt.png&amp;w=100&amp;h=40&amp;c=0&amp;pid=0.1</v>
      <v>Powered by Bing</v>
    </spb>
    <spb s="26">
      <v>square km</v>
      <v>2021</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27">
      <v>0</v>
      <v>94</v>
      <v>95</v>
      <v>96</v>
      <v>6</v>
      <v>97</v>
      <v>96</v>
      <v>98</v>
      <v>98</v>
      <v>99</v>
      <v>100</v>
      <v>98</v>
      <v>98</v>
      <v>95</v>
      <v>8</v>
      <v>94</v>
      <v>95</v>
      <v>9</v>
      <v>101</v>
      <v>95</v>
      <v>10</v>
      <v>7</v>
      <v>12</v>
      <v>95</v>
      <v>95</v>
      <v>100</v>
      <v>95</v>
      <v>4</v>
      <v>14</v>
      <v>13</v>
      <v>11</v>
      <v>95</v>
      <v>94</v>
      <v>95</v>
      <v>95</v>
      <v>95</v>
      <v>95</v>
      <v>95</v>
      <v>95</v>
      <v>95</v>
      <v>95</v>
      <v>95</v>
      <v>95</v>
      <v>15</v>
    </spb>
    <spb s="3">
      <v>7</v>
      <v>Name</v>
      <v>LearnMoreOnLink</v>
    </spb>
    <spb s="28">
      <v>1</v>
      <v>2</v>
      <v>13</v>
    </spb>
    <spb s="29">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30">
      <v>107</v>
      <v>108</v>
      <v>107</v>
      <v>108</v>
      <v>107</v>
      <v>109</v>
      <v>107</v>
    </spb>
    <spb s="3">
      <v>8</v>
      <v>Name</v>
      <v>LearnMoreOnLink</v>
    </spb>
    <spb s="26">
      <v>square km</v>
      <v>2012</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27">
      <v>0</v>
      <v>72</v>
      <v>75</v>
      <v>113</v>
      <v>6</v>
      <v>97</v>
      <v>113</v>
      <v>74</v>
      <v>74</v>
      <v>114</v>
      <v>115</v>
      <v>74</v>
      <v>74</v>
      <v>75</v>
      <v>8</v>
      <v>72</v>
      <v>75</v>
      <v>9</v>
      <v>74</v>
      <v>75</v>
      <v>10</v>
      <v>7</v>
      <v>12</v>
      <v>75</v>
      <v>75</v>
      <v>115</v>
      <v>75</v>
      <v>4</v>
      <v>14</v>
      <v>13</v>
      <v>11</v>
      <v>75</v>
      <v>72</v>
      <v>75</v>
      <v>75</v>
      <v>75</v>
      <v>75</v>
      <v>75</v>
      <v>75</v>
      <v>75</v>
      <v>75</v>
      <v>75</v>
      <v>75</v>
      <v>15</v>
    </spb>
    <spb s="29">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30">
      <v>119</v>
      <v>120</v>
      <v>120</v>
      <v>120</v>
      <v>120</v>
      <v>121</v>
      <v>122</v>
    </spb>
    <spb s="3">
      <v>9</v>
      <v>Name</v>
      <v>LearnMoreOnLink</v>
    </spb>
    <spb s="31">
      <v>19</v>
      <v>19</v>
      <v>89</v>
      <v>19</v>
      <v>19</v>
    </spb>
    <spb s="0">
      <v xml:space="preserve">Wikipedia	</v>
      <v xml:space="preserve">CC-BY-SA-3.0	</v>
      <v xml:space="preserve">http://de.wikipedia.org/wiki/Lissabon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32">
      <v>0</v>
      <v>61</v>
      <v>63</v>
      <v>127</v>
      <v>6</v>
      <v>97</v>
      <v>127</v>
      <v>63</v>
      <v>63</v>
      <v>128</v>
      <v>129</v>
      <v>63</v>
      <v>63</v>
      <v>63</v>
      <v>64</v>
      <v>8</v>
      <v>61</v>
      <v>64</v>
      <v>9</v>
      <v>63</v>
      <v>64</v>
      <v>10</v>
      <v>7</v>
      <v>12</v>
      <v>64</v>
      <v>64</v>
      <v>129</v>
      <v>64</v>
      <v>4</v>
      <v>14</v>
      <v>13</v>
      <v>11</v>
      <v>64</v>
      <v>61</v>
      <v>64</v>
      <v>64</v>
      <v>64</v>
      <v>64</v>
      <v>64</v>
      <v>64</v>
      <v>64</v>
      <v>64</v>
      <v>64</v>
      <v>64</v>
      <v>15</v>
    </spb>
    <spb s="29">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33">
      <v>46</v>
      <v>133</v>
      <v>47</v>
      <v>46</v>
      <v>133</v>
      <v>46</v>
      <v>46</v>
      <v>47</v>
      <v>134</v>
      <v>47</v>
    </spb>
    <spb s="3">
      <v>10</v>
      <v>Name</v>
      <v>LearnMoreOnLink</v>
    </spb>
    <spb s="34">
      <v>square km</v>
      <v>2011</v>
      <v>2020</v>
      <v>2011</v>
      <v>2011</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32">
      <v>0</v>
      <v>39</v>
      <v>138</v>
      <v>139</v>
      <v>6</v>
      <v>97</v>
      <v>139</v>
      <v>41</v>
      <v>41</v>
      <v>138</v>
      <v>140</v>
      <v>41</v>
      <v>41</v>
      <v>141</v>
      <v>42</v>
      <v>8</v>
      <v>39</v>
      <v>42</v>
      <v>9</v>
      <v>41</v>
      <v>42</v>
      <v>10</v>
      <v>7</v>
      <v>12</v>
      <v>42</v>
      <v>42</v>
      <v>140</v>
      <v>42</v>
      <v>4</v>
      <v>14</v>
      <v>13</v>
      <v>11</v>
      <v>42</v>
      <v>39</v>
      <v>42</v>
      <v>42</v>
      <v>42</v>
      <v>42</v>
      <v>42</v>
      <v>42</v>
      <v>42</v>
      <v>42</v>
      <v>42</v>
      <v>42</v>
      <v>15</v>
    </spb>
    <spb s="29">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35">
      <v>145</v>
      <v>146</v>
      <v>146</v>
      <v>147</v>
      <v>148</v>
      <v>149</v>
    </spb>
    <spb s="26">
      <v>square km</v>
      <v>2015</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36">
      <v>0</v>
      <v>1</v>
      <v>152</v>
      <v>153</v>
      <v>6</v>
      <v>97</v>
      <v>153</v>
      <v>3</v>
      <v>3</v>
      <v>152</v>
      <v>154</v>
      <v>3</v>
      <v>5</v>
      <v>8</v>
      <v>1</v>
      <v>5</v>
      <v>9</v>
      <v>3</v>
      <v>5</v>
      <v>10</v>
      <v>7</v>
      <v>12</v>
      <v>5</v>
      <v>5</v>
      <v>154</v>
      <v>5</v>
      <v>4</v>
      <v>14</v>
      <v>13</v>
      <v>11</v>
      <v>5</v>
      <v>1</v>
      <v>5</v>
      <v>5</v>
      <v>5</v>
      <v>5</v>
      <v>5</v>
      <v>5</v>
      <v>5</v>
      <v>5</v>
      <v>5</v>
      <v>5</v>
      <v>15</v>
    </spb>
    <spb s="3">
      <v>11</v>
      <v>Name</v>
      <v>LearnMoreOnLink</v>
    </spb>
    <spb s="29">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37">
      <v>12</v>
    </spb>
    <spb s="37">
      <v>13</v>
    </spb>
  </spbData>
</supportingPropertyBags>
</file>

<file path=xl/richData/rdsupportingpropertybagstructure.xml><?xml version="1.0" encoding="utf-8"?>
<spbStructures xmlns="http://schemas.microsoft.com/office/spreadsheetml/2017/richdata2" count="38">
  <s>
    <k n="SourceText" t="s"/>
    <k n="LicenseText" t="s"/>
    <k n="SourceAddress" t="s"/>
    <k n="LicenseAddress" t="s"/>
  </s>
  <s>
    <k n="IPC" t="spb"/>
    <k n="PIL" t="spb"/>
    <k n="Area" t="spb"/>
    <k n="Nome" t="spb"/>
    <k n="UniqueName" t="spb"/>
    <k n="Descrizione" t="spb"/>
    <k n="Popolazione" t="spb"/>
    <k n="Abbreviazione" t="spb"/>
    <k n="Codice valuta" t="spb"/>
    <k n="Inno nazionale" t="spb"/>
    <k n="Nome ufficiale" t="spb"/>
    <k n="Salario minimo" t="spb"/>
    <k n="Medici per mille" t="spb"/>
    <k n="Area boschiva (%)" t="spb"/>
    <k n="Tasso di natalità" t="spb"/>
    <k n="Popolazione urbana" t="spb"/>
    <k n="Tasso di fertilità" t="spb"/>
    <k n="Aspettativa di vita" t="spb"/>
    <k n="Entrate fiscali (%)" t="spb"/>
    <k n="La città più grande" t="spb"/>
    <k n="Mortalità infantile" t="spb"/>
    <k n="Prefisso telefonico" t="spb"/>
    <k n="Prezzo della benzina" t="spb"/>
    <k n="Terreno agricolo (%)" t="spb"/>
    <k n="Aliquota fiscale totale" t="spb"/>
    <k n="Tasso di disoccupazione" t="spb"/>
    <k n="Variazione dell'IPC (%)" t="spb"/>
    <k n="Capitale/città principale" t="spb"/>
    <k n="Consumo di energia elettrica" t="spb"/>
    <k n="Dimensione delle forze armate" t="spb"/>
    <k n="Coefficiente di mortalità materna" t="spb"/>
    <k n="Emissioni di diossido di carbonio" t="spb"/>
    <k n="Popolazione: quota di reddito terzo 20%" t="spb"/>
    <k n="Popolazione: Quota di reddito quarto 20%" t="spb"/>
    <k n="Popolazione: quota di reddito secondo20%" t="spb"/>
    <k n="Consumo di energia da combustibili fossili" t="spb"/>
    <k n="Popolazione: quota di reddito 20%più basso" t="spb"/>
    <k n="Iscrizione lorda all'istruzione primaria (%)" t="spb"/>
    <k n="Popolazione: quota di reddito del 20%più alto" t="spb"/>
    <k n="Capitalizzazione di mercato delle società quotate" t="spb"/>
    <k n="Popolazione: partecipazione alla forza lavoro (%)" t="spb"/>
    <k n="Iscrizione lorda all'istruzione di terzo livello (%)" t="spb"/>
    <k n="Spese sanitarie non coperte da assicurazione o mutua (%)" t="spb"/>
  </s>
  <s>
    <k n="IPC" t="s"/>
    <k n="PIL" t="s"/>
    <k n="Area" t="s"/>
    <k n="Nome" t="s"/>
    <k n="Immagine" t="s"/>
    <k n="UniqueName" t="s"/>
    <k n="VDPID/VSID" t="s"/>
    <k n="Descrizione" t="s"/>
    <k n="Popolazione" t="s"/>
    <k n="Abbreviazione" t="s"/>
    <k n="Codice valuta" t="s"/>
    <k n="Inno nazionale" t="s"/>
    <k n="Nome ufficiale" t="s"/>
    <k n="Salario minimo" t="s"/>
    <k n="LearnMoreOnLink" t="s"/>
    <k n="Medici per mille" t="s"/>
    <k n="Area boschiva (%)" t="s"/>
    <k n="Tasso di natalità" t="s"/>
    <k n="Popolazione urbana" t="s"/>
    <k n="Tasso di fertilità" t="s"/>
    <k n="Aspettativa di vita" t="s"/>
    <k n="Entrate fiscali (%)" t="s"/>
    <k n="La città più grande" t="s"/>
    <k n="Mortalità infantile" t="s"/>
    <k n="Prefisso telefonico" t="s"/>
    <k n="Prezzo della benzina" t="s"/>
    <k n="Terreno agricolo (%)" t="s"/>
    <k n="Aliquota fiscale totale" t="s"/>
    <k n="Tasso di disoccupazione" t="s"/>
    <k n="Variazione dell'IPC (%)" t="s"/>
    <k n="Capitale/città principale" t="s"/>
    <k n="Consumo di energia elettrica" t="s"/>
    <k n="Dimensione delle forze armate" t="s"/>
    <k n="Coefficiente di mortalità materna" t="s"/>
    <k n="Emissioni di diossido di carbonio" t="s"/>
    <k n="Popolazione: quota di reddito terzo 20%" t="s"/>
    <k n="Popolazione: Quota di reddito quarto 20%" t="s"/>
    <k n="Popolazione: quota di reddito secondo20%" t="s"/>
    <k n="Consumo di energia da combustibili fossili" t="s"/>
    <k n="Popolazione: quota di reddito 20%più basso" t="s"/>
    <k n="Iscrizione lorda all'istruzione primaria (%)" t="s"/>
    <k n="Popolazione: quota di reddito del 20%più alto" t="s"/>
    <k n="Capitalizzazione di mercato delle società quotate" t="s"/>
    <k n="Popolazione: partecipazione alla forza lavoro (%)" t="s"/>
    <k n="Iscrizione lorda all'istruzione di terzo livello (%)" t="s"/>
    <k n="Spese sanitarie non coperte da assicurazione o mutua (%)" t="s"/>
  </s>
  <s>
    <k n="^Order" t="spba"/>
    <k n="TitleProperty" t="s"/>
    <k n="SubTitleProperty" t="s"/>
  </s>
  <s>
    <k n="ShowInCardView" t="b"/>
    <k n="ShowInDotNotation" t="b"/>
    <k n="ShowInAutoComplete" t="b"/>
  </s>
  <s>
    <k n="UniqueName" t="spb"/>
    <k n="VDPID/VSID" t="spb"/>
    <k n="LearnMoreOnLink" t="spb"/>
  </s>
  <s>
    <k n="Nome" t="i"/>
    <k n="Immagine" t="i"/>
  </s>
  <s>
    <k n="link" t="s"/>
    <k n="logo" t="s"/>
    <k n="name" t="s"/>
  </s>
  <s>
    <k n="IPC" t="s"/>
    <k n="PIL" t="s"/>
    <k n="Area" t="s"/>
    <k n="Popolazione" t="s"/>
    <k n="Medici per mille" t="s"/>
    <k n="Area boschiva (%)" t="s"/>
    <k n="Tasso di natalità" t="s"/>
    <k n="Popolazione urbana" t="s"/>
    <k n="Tasso di fertilità" t="s"/>
    <k n="Aspettativa di vita" t="s"/>
    <k n="Entrate fiscali (%)" t="s"/>
    <k n="Mortalità infantile" t="s"/>
    <k n="Prezzo della benzina" t="s"/>
    <k n="Terreno agricolo (%)" t="s"/>
    <k n="Aliquota fiscale totale" t="s"/>
    <k n="Tasso di disoccupazione" t="s"/>
    <k n="Variazione dell'IPC (%)" t="s"/>
    <k n="Consumo di energia elettrica" t="s"/>
    <k n="Dimensione delle forze armate" t="s"/>
    <k n="Coefficiente di mortalità materna" t="s"/>
    <k n="Emissioni di diossido di carbonio" t="s"/>
    <k n="Popolazione: quota di reddito terzo 20%" t="s"/>
    <k n="Popolazione: Quota di reddito quarto 20%" t="s"/>
    <k n="Popolazione: quota di reddito secondo20%" t="s"/>
    <k n="Consumo di energia da combustibili fossili" t="s"/>
    <k n="Popolazione: quota di reddito 20%più basso" t="s"/>
    <k n="Iscrizione lorda all'istruzione primaria (%)" t="s"/>
    <k n="Popolazione: quota di reddito del 20%più alto" t="s"/>
    <k n="Capitalizzazione di mercato delle società quotate" t="s"/>
    <k n="Popolazione: partecipazione alla forza lavoro (%)" t="s"/>
    <k n="Iscrizione lorda all'istruzione di terzo livello (%)" t="s"/>
    <k n="Spese sanitarie non coperte da assicurazione o mutua (%)" t="s"/>
  </s>
  <s>
    <k n="_Self" t="i"/>
  </s>
  <s>
    <k n="Area" t="spb"/>
    <k n="Nome" t="spb"/>
    <k n="Latitudine" t="spb"/>
    <k n="UniqueName" t="spb"/>
    <k n="Descrizione" t="spb"/>
    <k n="Longitudine" t="spb"/>
    <k n="Popolazione" t="spb"/>
    <k n="Paese/area geografica" t="spb"/>
    <k n="Divisione amministrativa 2 (Paese/ distretto/ altro)" t="spb"/>
    <k n="Divisione amministrativa 1 (Stato / provincia / altro)" t="spb"/>
  </s>
  <s>
    <k n="Area" t="s"/>
    <k n="Nome" t="s"/>
    <k n="Immagine" t="s"/>
    <k n="Latitudine" t="s"/>
    <k n="UniqueName" t="s"/>
    <k n="VDPID/VSID" t="s"/>
    <k n="Descrizione" t="s"/>
    <k n="Longitudine" t="s"/>
    <k n="Popolazione" t="s"/>
    <k n="LearnMoreOnLink" t="s"/>
    <k n="Paese/area geografica" t="s"/>
    <k n="Divisione amministrativa 2 (Paese/ distretto/ altro)" t="s"/>
    <k n="Divisione amministrativa 1 (Stato / provincia / altro)" t="s"/>
  </s>
  <s>
    <k n="Area" t="s"/>
    <k n="Popolazione" t="s"/>
  </s>
  <s>
    <k n="Area" t="spb"/>
    <k n="Nome" t="spb"/>
    <k n="UniqueName" t="spb"/>
    <k n="Descrizione" t="spb"/>
    <k n="Popolazione" t="spb"/>
    <k n="Abbreviazione" t="spb"/>
    <k n="Unità abitative" t="spb"/>
    <k n="Nuclei famigliari" t="spb"/>
    <k n="Paese/area geografica" t="spb"/>
    <k n="Persone per nucleo famigliare" t="spb"/>
  </s>
  <s>
    <k n="Area" t="s"/>
    <k n="Nome" t="s"/>
    <k n="Immagine" t="s"/>
    <k n="UniqueName" t="s"/>
    <k n="VDPID/VSID" t="s"/>
    <k n="Descrizione" t="s"/>
    <k n="Popolazione" t="s"/>
    <k n="Abbreviazione" t="s"/>
    <k n="LearnMoreOnLink" t="s"/>
    <k n="Unità abitative" t="s"/>
    <k n="Nuclei famigliari" t="s"/>
    <k n="Paese/area geografica" t="s"/>
    <k n="Persone per nucleo famigliare" t="s"/>
  </s>
  <s>
    <k n="Area" t="s"/>
    <k n="Popolazione" t="s"/>
    <k n="Unità abitative" t="s"/>
    <k n="Nuclei famigliari" t="s"/>
    <k n="Persone per nucleo famigliare" t="s"/>
  </s>
  <s>
    <k n="Area" t="spb"/>
    <k n="Nome" t="spb"/>
    <k n="UniqueName" t="spb"/>
    <k n="Descrizione" t="spb"/>
    <k n="Popolazione" t="spb"/>
    <k n="Abbreviazione" t="spb"/>
    <k n="Unità abitative" t="spb"/>
    <k n="Nuclei famigliari" t="spb"/>
    <k n="La città più grande" t="spb"/>
    <k n="Paese/area geografica" t="spb"/>
    <k n="Capitale/città principale" t="spb"/>
    <k n="Persone per nucleo famigliare" t="spb"/>
  </s>
  <s>
    <k n="Area" t="s"/>
    <k n="Nome" t="s"/>
    <k n="Immagine" t="s"/>
    <k n="UniqueName" t="s"/>
    <k n="VDPID/VSID" t="s"/>
    <k n="Descrizione" t="s"/>
    <k n="Popolazione" t="s"/>
    <k n="Abbreviazione" t="s"/>
    <k n="LearnMoreOnLink" t="s"/>
    <k n="Unità abitative" t="s"/>
    <k n="Nuclei famigliari" t="s"/>
    <k n="La città più grande" t="s"/>
    <k n="Paese/area geografica" t="s"/>
    <k n="Capitale/città principale" t="s"/>
    <k n="Persone per nucleo famigliare" t="s"/>
  </s>
  <s>
    <k n="Area" t="spb"/>
    <k n="Nome" t="spb"/>
    <k n="UniqueName" t="spb"/>
    <k n="Descrizione" t="spb"/>
    <k n="Popolazione" t="spb"/>
    <k n="Paese/area geografica" t="spb"/>
    <k n="Divisione amministrativa 1 (Stato / provincia / altro)" t="spb"/>
  </s>
  <s>
    <k n="Area" t="s"/>
    <k n="Nome" t="s"/>
    <k n="Immagine" t="s"/>
    <k n="UniqueName" t="s"/>
    <k n="VDPID/VSID" t="s"/>
    <k n="Descrizione" t="s"/>
    <k n="Popolazione" t="s"/>
    <k n="LearnMoreOnLink" t="s"/>
    <k n="Paese/area geografica" t="s"/>
    <k n="Divisione amministrativa 1 (Stato / provincia / altro)" t="s"/>
  </s>
  <s>
    <k n="Area" t="spb"/>
    <k n="Nome" t="spb"/>
    <k n="Latitudine" t="spb"/>
    <k n="UniqueName" t="spb"/>
    <k n="Descrizione" t="spb"/>
    <k n="Longitudine" t="spb"/>
    <k n="Popolazione" t="spb"/>
    <k n="Paese/area geografica" t="spb"/>
    <k n="Divisione amministrativa 1 (Stato / provincia / altro)" t="spb"/>
  </s>
  <s>
    <k n="Area" t="s"/>
    <k n="Nome" t="s"/>
    <k n="Immagine" t="s"/>
    <k n="Latitudine" t="s"/>
    <k n="UniqueName" t="s"/>
    <k n="VDPID/VSID" t="s"/>
    <k n="Descrizione" t="s"/>
    <k n="Longitudine" t="s"/>
    <k n="Popolazione" t="s"/>
    <k n="LearnMoreOnLink" t="s"/>
    <k n="Paese/area geografica" t="s"/>
    <k n="Divisione amministrativa 1 (Stato / provincia / altro)" t="s"/>
  </s>
  <s>
    <k n="Area" t="spb"/>
    <k n="Name" t="spb"/>
    <k n="Population" t="spb"/>
    <k n="UniqueName" t="spb"/>
    <k n="Description" t="spb"/>
    <k n="Country/region" t="spb"/>
    <k n="Admin Division 1 (State/province/other)" t="spb"/>
    <k n="Admin Division 2 (County/district/other)" t="spb"/>
  </s>
  <s>
    <k n="ShowInDotNotation" t="b"/>
    <k n="ShowInAutoComplete" t="b"/>
  </s>
  <s>
    <k n="UniqueName" t="spb"/>
    <k n="VDPID/VSID" t="spb"/>
    <k n="Description" t="spb"/>
    <k n="LearnMoreOnLink" t="spb"/>
  </s>
  <s>
    <k n="Name" t="i"/>
    <k n="Description" t="i"/>
  </s>
  <s>
    <k n="Area" t="s"/>
    <k n="Population" t="s"/>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Pr n="RequiresInlineAttribution" t="b"/>
  </richProperties>
  <richStyles>
    <rSty>
      <rpv i="0">1</rpv>
    </rSty>
    <rSty>
      <rpv i="1">1</rpv>
    </rSty>
    <rSty dxfid="0">
      <rpv i="2">0.0%</rpv>
    </rSty>
    <rSty dxfid="1">
      <rpv i="2">#,##0</rpv>
    </rSty>
    <rSty dxfid="5">
      <rpv i="2">0.0</rpv>
    </rSty>
    <rSty dxfid="5">
      <rpv i="2">_([$$-en-US]* #,##0_);_([$$-en-US]* (#,##0);_([$$-en-US]* "-"_);_(@_)</rpv>
    </rSty>
    <rSty dxfid="4">
      <rpv i="2">#,##0.00</rpv>
    </rSty>
    <rSty dxfid="2">
      <rpv i="2">0.00</rpv>
    </rSty>
    <rSty dxfid="3">
      <rpv i="2">0</rpv>
    </rSty>
    <rSty dxfid="5">
      <rpv i="2">_([$$-en-US]* #,##0.00_);_([$$-en-US]* (#,##0.00);_([$$-en-US]* "-"??_);_(@_)</rpv>
    </rSty>
    <rSty dxfid="0"/>
    <rSty dxfid="5">
      <rpv i="2">0.0000</rpv>
    </rSty>
    <rSty>
      <rpv i="3">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16091E-6E65-4CC2-AF58-D2DB4FCE80D7}" name="Tabella3" displayName="Tabella3" ref="A1:B54" totalsRowShown="0">
  <autoFilter ref="A1:B54" xr:uid="{7E16091E-6E65-4CC2-AF58-D2DB4FCE80D7}"/>
  <tableColumns count="2">
    <tableColumn id="1" xr3:uid="{B86DEAE9-61E5-453F-843E-EB29CA6FDAFC}" name="Date" dataDxfId="15"/>
    <tableColumn id="2" xr3:uid="{1C5F0106-0819-4254-8692-687AEECEB2D3}" name="Ricav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AC541A-F761-4CBC-ABDB-6FF7FAC65753}" name="Tabella2" displayName="Tabella2" ref="B2:L259" totalsRowShown="0" headerRowDxfId="14">
  <autoFilter ref="B2:L259" xr:uid="{E9AC541A-F761-4CBC-ABDB-6FF7FAC65753}"/>
  <tableColumns count="11">
    <tableColumn id="1" xr3:uid="{90539381-F28F-43B0-A2B7-7167C5130CDE}" name="Order ID" dataDxfId="13"/>
    <tableColumn id="2" xr3:uid="{DCCEA86C-7414-4878-B112-CFB2E717702B}" name="Date" dataDxfId="12"/>
    <tableColumn id="3" xr3:uid="{9CB2003E-A097-4719-9AF6-B8391B5A6A43}" name="Product"/>
    <tableColumn id="4" xr3:uid="{062906B7-73C4-43AF-92D4-7F2F9FDA3A18}" name="Price" dataDxfId="11"/>
    <tableColumn id="6" xr3:uid="{13E21DB9-79D0-4495-BD18-4293B1F9AD43}" name="Purchase Type" dataDxfId="10"/>
    <tableColumn id="7" xr3:uid="{6FBB4853-E164-4E99-8B24-23C56C765776}" name="Payment Method" dataDxfId="9"/>
    <tableColumn id="10" xr3:uid="{6A81B75B-BAEC-4DDE-A8A1-21D6271EDEF6}" name="Manager2" dataDxfId="8"/>
    <tableColumn id="11" xr3:uid="{AED1414B-686D-49CB-9A4D-27EF47F4CA10}" name="Quantity"/>
    <tableColumn id="9" xr3:uid="{9C1D8CC2-5AE1-46BE-9331-0AAA6369AC9E}" name="City"/>
    <tableColumn id="12" xr3:uid="{FFAE52F5-7136-498B-B49C-B154BBD4BD3F}" name="Paese/area geografica">
      <calculatedColumnFormula array="1">_FV(Tabella2[[#This Row],[City]],"Paese/area geografica",TRUE)</calculatedColumnFormula>
    </tableColumn>
    <tableColumn id="16" xr3:uid="{CCE1AC84-EECD-4852-9B1F-4967BDE42A04}" name="Ricavo" dataDxfId="7">
      <calculatedColumnFormula>Tabella2[[#This Row],[Quantity]]*Tabella2[[#This Row],[Price]]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6">
  <autoFilter ref="B2:M256" xr:uid="{CD828420-2A6D-014A-88B1-2BABA3BA0542}"/>
  <tableColumns count="12">
    <tableColumn id="1" xr3:uid="{10C0F244-483F-4A49-B3E1-49B616F196C1}" name="Order ID" dataDxfId="5"/>
    <tableColumn id="2" xr3:uid="{B235E101-74E6-5142-B134-5985F87CF2C6}" name="Date" dataDxfId="4"/>
    <tableColumn id="3" xr3:uid="{088D2698-CC16-384A-AC92-4BBA913E871B}" name="Product"/>
    <tableColumn id="4" xr3:uid="{774386CA-C236-0B40-B729-491CD51B3277}" name="Price" dataDxfId="3"/>
    <tableColumn id="5" xr3:uid="{50AC1BB4-99E7-AC4F-A7F9-302247587674}" name="Quantity" dataDxfId="2"/>
    <tableColumn id="6" xr3:uid="{428F1872-246B-6B47-9CB3-7AC4B776FA81}" name="Cost" dataDxfId="1"/>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640F-51D7-4931-BDB2-1315FB87E3AF}">
  <dimension ref="A1:B54"/>
  <sheetViews>
    <sheetView workbookViewId="0">
      <selection activeCell="D32" sqref="D32"/>
    </sheetView>
  </sheetViews>
  <sheetFormatPr defaultRowHeight="15.6" x14ac:dyDescent="0.3"/>
  <cols>
    <col min="1" max="1" width="17.09765625" customWidth="1"/>
    <col min="2" max="2" width="17.19921875" customWidth="1"/>
  </cols>
  <sheetData>
    <row r="1" spans="1:2" x14ac:dyDescent="0.3">
      <c r="A1" t="s">
        <v>1</v>
      </c>
      <c r="B1" t="s">
        <v>52</v>
      </c>
    </row>
    <row r="2" spans="1:2" x14ac:dyDescent="0.3">
      <c r="A2" s="24">
        <v>44872</v>
      </c>
      <c r="B2">
        <v>1735.6500000000003</v>
      </c>
    </row>
    <row r="3" spans="1:2" x14ac:dyDescent="0.3">
      <c r="A3" s="24">
        <v>44873</v>
      </c>
      <c r="B3">
        <v>3105.1125000000002</v>
      </c>
    </row>
    <row r="4" spans="1:2" x14ac:dyDescent="0.3">
      <c r="A4" s="24">
        <v>44874</v>
      </c>
      <c r="B4">
        <v>2845.1400000000003</v>
      </c>
    </row>
    <row r="5" spans="1:2" x14ac:dyDescent="0.3">
      <c r="A5" s="24">
        <v>44875</v>
      </c>
      <c r="B5">
        <v>3305.6774999999998</v>
      </c>
    </row>
    <row r="6" spans="1:2" x14ac:dyDescent="0.3">
      <c r="A6" s="24">
        <v>44876</v>
      </c>
      <c r="B6">
        <v>2884.9260000000004</v>
      </c>
    </row>
    <row r="7" spans="1:2" x14ac:dyDescent="0.3">
      <c r="A7" s="24">
        <v>44877</v>
      </c>
      <c r="B7">
        <v>2804.3879999999999</v>
      </c>
    </row>
    <row r="8" spans="1:2" x14ac:dyDescent="0.3">
      <c r="A8" s="24">
        <v>44878</v>
      </c>
      <c r="B8">
        <v>7792.5714285714284</v>
      </c>
    </row>
    <row r="9" spans="1:2" x14ac:dyDescent="0.3">
      <c r="A9" s="24">
        <v>44879</v>
      </c>
      <c r="B9">
        <v>5424.4833333333327</v>
      </c>
    </row>
    <row r="10" spans="1:2" x14ac:dyDescent="0.3">
      <c r="A10" s="24">
        <v>44880</v>
      </c>
      <c r="B10">
        <v>2725.6320000000001</v>
      </c>
    </row>
    <row r="11" spans="1:2" x14ac:dyDescent="0.3">
      <c r="A11" s="24">
        <v>44881</v>
      </c>
      <c r="B11">
        <v>2725.6320000000001</v>
      </c>
    </row>
    <row r="12" spans="1:2" x14ac:dyDescent="0.3">
      <c r="A12" s="24">
        <v>44882</v>
      </c>
      <c r="B12">
        <v>2804.3879999999999</v>
      </c>
    </row>
    <row r="13" spans="1:2" x14ac:dyDescent="0.3">
      <c r="A13" s="24">
        <v>44883</v>
      </c>
      <c r="B13">
        <v>2883.1439999999998</v>
      </c>
    </row>
    <row r="14" spans="1:2" x14ac:dyDescent="0.3">
      <c r="A14" s="24">
        <v>44884</v>
      </c>
      <c r="B14">
        <v>2805.2039999999997</v>
      </c>
    </row>
    <row r="15" spans="1:2" x14ac:dyDescent="0.3">
      <c r="A15" s="24">
        <v>44885</v>
      </c>
      <c r="B15">
        <v>4109.5600000000004</v>
      </c>
    </row>
    <row r="16" spans="1:2" x14ac:dyDescent="0.3">
      <c r="A16" s="24">
        <v>44886</v>
      </c>
      <c r="B16">
        <v>2803.7560000000003</v>
      </c>
    </row>
    <row r="17" spans="1:2" x14ac:dyDescent="0.3">
      <c r="A17" s="24">
        <v>44887</v>
      </c>
      <c r="B17">
        <v>2723.2179999999998</v>
      </c>
    </row>
    <row r="18" spans="1:2" x14ac:dyDescent="0.3">
      <c r="A18" s="24">
        <v>44888</v>
      </c>
      <c r="B18">
        <v>2764.7860000000001</v>
      </c>
    </row>
    <row r="19" spans="1:2" x14ac:dyDescent="0.3">
      <c r="A19" s="24">
        <v>44889</v>
      </c>
      <c r="B19">
        <v>2725</v>
      </c>
    </row>
    <row r="20" spans="1:2" x14ac:dyDescent="0.3">
      <c r="A20" s="24">
        <v>44890</v>
      </c>
      <c r="B20">
        <v>2683.4319999999998</v>
      </c>
    </row>
    <row r="21" spans="1:2" x14ac:dyDescent="0.3">
      <c r="A21" s="24">
        <v>44891</v>
      </c>
      <c r="B21">
        <v>2644.4620000000004</v>
      </c>
    </row>
    <row r="22" spans="1:2" x14ac:dyDescent="0.3">
      <c r="A22" s="24">
        <v>44892</v>
      </c>
      <c r="B22">
        <v>2683.4319999999998</v>
      </c>
    </row>
    <row r="23" spans="1:2" x14ac:dyDescent="0.3">
      <c r="A23" s="24">
        <v>44893</v>
      </c>
      <c r="B23">
        <v>2684.88</v>
      </c>
    </row>
    <row r="24" spans="1:2" x14ac:dyDescent="0.3">
      <c r="A24" s="24">
        <v>44894</v>
      </c>
      <c r="B24">
        <v>2684.88</v>
      </c>
    </row>
    <row r="25" spans="1:2" x14ac:dyDescent="0.3">
      <c r="A25" s="24">
        <v>44895</v>
      </c>
      <c r="B25">
        <v>2723.85</v>
      </c>
    </row>
    <row r="26" spans="1:2" x14ac:dyDescent="0.3">
      <c r="A26" s="24">
        <v>44896</v>
      </c>
      <c r="B26">
        <v>2684.0639999999999</v>
      </c>
    </row>
    <row r="27" spans="1:2" x14ac:dyDescent="0.3">
      <c r="A27" s="24">
        <v>44897</v>
      </c>
      <c r="B27">
        <v>2804.3879999999999</v>
      </c>
    </row>
    <row r="28" spans="1:2" x14ac:dyDescent="0.3">
      <c r="A28" s="24">
        <v>44898</v>
      </c>
      <c r="B28">
        <v>2804.3879999999999</v>
      </c>
    </row>
    <row r="29" spans="1:2" x14ac:dyDescent="0.3">
      <c r="A29" s="24">
        <v>44899</v>
      </c>
      <c r="B29">
        <v>4505.7550000000001</v>
      </c>
    </row>
    <row r="30" spans="1:2" x14ac:dyDescent="0.3">
      <c r="A30" s="24">
        <v>44900</v>
      </c>
      <c r="B30">
        <v>2845.1400000000003</v>
      </c>
    </row>
    <row r="31" spans="1:2" x14ac:dyDescent="0.3">
      <c r="A31" s="24">
        <v>44901</v>
      </c>
      <c r="B31">
        <v>2803.5719999999997</v>
      </c>
    </row>
    <row r="32" spans="1:2" x14ac:dyDescent="0.3">
      <c r="A32" s="24">
        <v>44902</v>
      </c>
      <c r="B32">
        <v>2804.3879999999999</v>
      </c>
    </row>
    <row r="33" spans="1:2" x14ac:dyDescent="0.3">
      <c r="A33" s="24">
        <v>44903</v>
      </c>
      <c r="B33">
        <v>2843.3579999999997</v>
      </c>
    </row>
    <row r="34" spans="1:2" x14ac:dyDescent="0.3">
      <c r="A34" s="24">
        <v>44904</v>
      </c>
      <c r="B34">
        <v>2923.8959999999997</v>
      </c>
    </row>
    <row r="35" spans="1:2" x14ac:dyDescent="0.3">
      <c r="A35" s="24">
        <v>44905</v>
      </c>
      <c r="B35">
        <v>2923.8959999999997</v>
      </c>
    </row>
    <row r="36" spans="1:2" x14ac:dyDescent="0.3">
      <c r="A36" s="24">
        <v>44906</v>
      </c>
      <c r="B36">
        <v>3005.5840000000003</v>
      </c>
    </row>
    <row r="37" spans="1:2" x14ac:dyDescent="0.3">
      <c r="A37" s="24">
        <v>44907</v>
      </c>
      <c r="B37">
        <v>2923.8959999999997</v>
      </c>
    </row>
    <row r="38" spans="1:2" x14ac:dyDescent="0.3">
      <c r="A38" s="24">
        <v>44908</v>
      </c>
      <c r="B38">
        <v>2923.8960000000002</v>
      </c>
    </row>
    <row r="39" spans="1:2" x14ac:dyDescent="0.3">
      <c r="A39" s="24">
        <v>44909</v>
      </c>
      <c r="B39">
        <v>2924.7260000000001</v>
      </c>
    </row>
    <row r="40" spans="1:2" x14ac:dyDescent="0.3">
      <c r="A40" s="24">
        <v>44910</v>
      </c>
      <c r="B40">
        <v>2883.1579999999999</v>
      </c>
    </row>
    <row r="41" spans="1:2" x14ac:dyDescent="0.3">
      <c r="A41" s="24">
        <v>44911</v>
      </c>
      <c r="B41">
        <v>3003.8160000000003</v>
      </c>
    </row>
    <row r="42" spans="1:2" x14ac:dyDescent="0.3">
      <c r="A42" s="24">
        <v>44912</v>
      </c>
      <c r="B42">
        <v>3085.1700000000005</v>
      </c>
    </row>
    <row r="43" spans="1:2" x14ac:dyDescent="0.3">
      <c r="A43" s="24">
        <v>44913</v>
      </c>
      <c r="B43">
        <v>3124.1400000000003</v>
      </c>
    </row>
    <row r="44" spans="1:2" x14ac:dyDescent="0.3">
      <c r="A44" s="24">
        <v>44914</v>
      </c>
      <c r="B44">
        <v>3164.8920000000003</v>
      </c>
    </row>
    <row r="45" spans="1:2" x14ac:dyDescent="0.3">
      <c r="A45" s="24">
        <v>44915</v>
      </c>
      <c r="B45">
        <v>3203.8620000000001</v>
      </c>
    </row>
    <row r="46" spans="1:2" x14ac:dyDescent="0.3">
      <c r="A46" s="24">
        <v>44916</v>
      </c>
      <c r="B46">
        <v>3284.4</v>
      </c>
    </row>
    <row r="47" spans="1:2" x14ac:dyDescent="0.3">
      <c r="A47" s="24">
        <v>44917</v>
      </c>
      <c r="B47">
        <v>3324.2</v>
      </c>
    </row>
    <row r="48" spans="1:2" x14ac:dyDescent="0.3">
      <c r="A48" s="24">
        <v>44918</v>
      </c>
      <c r="B48">
        <v>3203.5420000000004</v>
      </c>
    </row>
    <row r="49" spans="1:2" x14ac:dyDescent="0.3">
      <c r="A49" s="24">
        <v>44919</v>
      </c>
      <c r="B49">
        <v>3284.0800000000004</v>
      </c>
    </row>
    <row r="50" spans="1:2" x14ac:dyDescent="0.3">
      <c r="A50" s="24">
        <v>44920</v>
      </c>
      <c r="B50">
        <v>3323.88</v>
      </c>
    </row>
    <row r="51" spans="1:2" x14ac:dyDescent="0.3">
      <c r="A51" s="24">
        <v>44921</v>
      </c>
      <c r="B51">
        <v>3402.65</v>
      </c>
    </row>
    <row r="52" spans="1:2" x14ac:dyDescent="0.3">
      <c r="A52" s="24">
        <v>44922</v>
      </c>
      <c r="B52">
        <v>3402.65</v>
      </c>
    </row>
    <row r="53" spans="1:2" x14ac:dyDescent="0.3">
      <c r="A53" s="24">
        <v>44923</v>
      </c>
      <c r="B53">
        <v>3522.9880000000003</v>
      </c>
    </row>
    <row r="54" spans="1:2" x14ac:dyDescent="0.3">
      <c r="A54" s="24">
        <v>44924</v>
      </c>
      <c r="B54">
        <v>4203.91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0F04-4DFC-49C3-A3F4-8F47BDB3A5E2}">
  <dimension ref="A3:C102"/>
  <sheetViews>
    <sheetView tabSelected="1" workbookViewId="0">
      <selection activeCell="L92" sqref="L92"/>
    </sheetView>
  </sheetViews>
  <sheetFormatPr defaultRowHeight="15.6" x14ac:dyDescent="0.3"/>
  <cols>
    <col min="1" max="1" width="23.8984375" bestFit="1" customWidth="1"/>
    <col min="2" max="2" width="15.19921875" bestFit="1" customWidth="1"/>
    <col min="3" max="3" width="11.09765625" bestFit="1" customWidth="1"/>
    <col min="4" max="4" width="18" bestFit="1" customWidth="1"/>
    <col min="5" max="5" width="10.09765625" bestFit="1" customWidth="1"/>
    <col min="6" max="6" width="12.5" bestFit="1" customWidth="1"/>
    <col min="7" max="8" width="17.09765625" bestFit="1" customWidth="1"/>
  </cols>
  <sheetData>
    <row r="3" spans="1:2" x14ac:dyDescent="0.3">
      <c r="A3" s="22" t="s">
        <v>53</v>
      </c>
      <c r="B3" t="s">
        <v>61</v>
      </c>
    </row>
    <row r="4" spans="1:2" x14ac:dyDescent="0.3">
      <c r="A4" s="14" t="s">
        <v>12</v>
      </c>
      <c r="B4" s="26">
        <v>35666</v>
      </c>
    </row>
    <row r="5" spans="1:2" x14ac:dyDescent="0.3">
      <c r="A5" s="14" t="s">
        <v>9</v>
      </c>
      <c r="B5" s="26">
        <v>32067</v>
      </c>
    </row>
    <row r="6" spans="1:2" x14ac:dyDescent="0.3">
      <c r="A6" s="14" t="s">
        <v>15</v>
      </c>
      <c r="B6" s="26">
        <v>29572</v>
      </c>
    </row>
    <row r="7" spans="1:2" x14ac:dyDescent="0.3">
      <c r="A7" s="14" t="s">
        <v>18</v>
      </c>
      <c r="B7" s="26">
        <v>11184</v>
      </c>
    </row>
    <row r="8" spans="1:2" x14ac:dyDescent="0.3">
      <c r="A8" s="14" t="s">
        <v>13</v>
      </c>
      <c r="B8" s="26">
        <v>10050</v>
      </c>
    </row>
    <row r="9" spans="1:2" x14ac:dyDescent="0.3">
      <c r="A9" s="14" t="s">
        <v>54</v>
      </c>
      <c r="B9" s="26">
        <v>118539</v>
      </c>
    </row>
    <row r="13" spans="1:2" x14ac:dyDescent="0.3">
      <c r="A13" s="22" t="s">
        <v>53</v>
      </c>
      <c r="B13" t="s">
        <v>55</v>
      </c>
    </row>
    <row r="14" spans="1:2" x14ac:dyDescent="0.3">
      <c r="A14" s="14" t="s">
        <v>21</v>
      </c>
      <c r="B14" s="25">
        <v>283555.36</v>
      </c>
    </row>
    <row r="15" spans="1:2" x14ac:dyDescent="0.3">
      <c r="A15" s="14" t="s">
        <v>20</v>
      </c>
      <c r="B15" s="25">
        <v>136430.04000000004</v>
      </c>
    </row>
    <row r="16" spans="1:2" x14ac:dyDescent="0.3">
      <c r="A16" s="14" t="s">
        <v>19</v>
      </c>
      <c r="B16" s="25">
        <v>79927.900000000009</v>
      </c>
    </row>
    <row r="17" spans="1:2" x14ac:dyDescent="0.3">
      <c r="A17" s="14" t="s">
        <v>24</v>
      </c>
      <c r="B17" s="25">
        <v>211522.87999999995</v>
      </c>
    </row>
    <row r="18" spans="1:2" x14ac:dyDescent="0.3">
      <c r="A18" s="14" t="s">
        <v>17</v>
      </c>
      <c r="B18" s="25">
        <v>100698.95000000001</v>
      </c>
    </row>
    <row r="19" spans="1:2" x14ac:dyDescent="0.3">
      <c r="A19" s="14" t="s">
        <v>54</v>
      </c>
      <c r="B19" s="25">
        <v>812135.12999999989</v>
      </c>
    </row>
    <row r="29" spans="1:2" x14ac:dyDescent="0.3">
      <c r="A29" s="22" t="s">
        <v>53</v>
      </c>
      <c r="B29" t="s">
        <v>55</v>
      </c>
    </row>
    <row r="30" spans="1:2" x14ac:dyDescent="0.3">
      <c r="A30" s="14" t="s">
        <v>62</v>
      </c>
      <c r="B30" s="25">
        <v>75073.204761904766</v>
      </c>
    </row>
    <row r="31" spans="1:2" x14ac:dyDescent="0.3">
      <c r="A31" s="14" t="s">
        <v>63</v>
      </c>
      <c r="B31" s="25">
        <v>91138.285000000003</v>
      </c>
    </row>
    <row r="32" spans="1:2" x14ac:dyDescent="0.3">
      <c r="A32" s="14" t="s">
        <v>54</v>
      </c>
      <c r="B32">
        <v>166211.48976190473</v>
      </c>
    </row>
    <row r="42" spans="1:2" x14ac:dyDescent="0.3">
      <c r="A42" s="22" t="s">
        <v>53</v>
      </c>
      <c r="B42" t="s">
        <v>55</v>
      </c>
    </row>
    <row r="43" spans="1:2" x14ac:dyDescent="0.3">
      <c r="A43" s="14" t="e" vm="1">
        <v>#VALUE!</v>
      </c>
      <c r="B43" s="23">
        <v>9.8416996196187212E-2</v>
      </c>
    </row>
    <row r="44" spans="1:2" x14ac:dyDescent="0.3">
      <c r="A44" s="14" t="e" vm="2">
        <v>#VALUE!</v>
      </c>
      <c r="B44" s="23">
        <v>0.12399285079565517</v>
      </c>
    </row>
    <row r="45" spans="1:2" x14ac:dyDescent="0.3">
      <c r="A45" s="14" t="e" vm="3">
        <v>#VALUE!</v>
      </c>
      <c r="B45" s="23">
        <v>0.26045281405324744</v>
      </c>
    </row>
    <row r="46" spans="1:2" x14ac:dyDescent="0.3">
      <c r="A46" s="14" t="e" vm="4">
        <v>#VALUE!</v>
      </c>
      <c r="B46" s="23">
        <v>0.34914800447063532</v>
      </c>
    </row>
    <row r="47" spans="1:2" x14ac:dyDescent="0.3">
      <c r="A47" s="14" t="e" vm="5">
        <v>#VALUE!</v>
      </c>
      <c r="B47" s="23">
        <v>0.16798933448427486</v>
      </c>
    </row>
    <row r="48" spans="1:2" x14ac:dyDescent="0.3">
      <c r="A48" s="14" t="s">
        <v>54</v>
      </c>
      <c r="B48" s="23">
        <v>1</v>
      </c>
    </row>
    <row r="57" spans="1:3" x14ac:dyDescent="0.3">
      <c r="A57" s="22" t="s">
        <v>61</v>
      </c>
      <c r="B57" s="22" t="s">
        <v>64</v>
      </c>
    </row>
    <row r="58" spans="1:3" x14ac:dyDescent="0.3">
      <c r="A58" s="22" t="s">
        <v>53</v>
      </c>
      <c r="B58" t="s">
        <v>19</v>
      </c>
      <c r="C58" t="s">
        <v>54</v>
      </c>
    </row>
    <row r="59" spans="1:3" x14ac:dyDescent="0.3">
      <c r="A59" s="14" t="s">
        <v>12</v>
      </c>
      <c r="B59" s="26">
        <v>3526</v>
      </c>
      <c r="C59" s="26">
        <v>3526</v>
      </c>
    </row>
    <row r="60" spans="1:3" x14ac:dyDescent="0.3">
      <c r="A60" s="14" t="s">
        <v>15</v>
      </c>
      <c r="B60" s="26">
        <v>3036</v>
      </c>
      <c r="C60" s="26">
        <v>3036</v>
      </c>
    </row>
    <row r="61" spans="1:3" x14ac:dyDescent="0.3">
      <c r="A61" s="14" t="s">
        <v>18</v>
      </c>
      <c r="B61" s="26">
        <v>1212</v>
      </c>
      <c r="C61" s="26">
        <v>1212</v>
      </c>
    </row>
    <row r="62" spans="1:3" x14ac:dyDescent="0.3">
      <c r="A62" s="14" t="s">
        <v>9</v>
      </c>
      <c r="B62" s="26">
        <v>3729</v>
      </c>
      <c r="C62" s="26">
        <v>3729</v>
      </c>
    </row>
    <row r="63" spans="1:3" x14ac:dyDescent="0.3">
      <c r="A63" s="14" t="s">
        <v>13</v>
      </c>
      <c r="B63" s="26">
        <v>1005</v>
      </c>
      <c r="C63" s="26">
        <v>1005</v>
      </c>
    </row>
    <row r="64" spans="1:3" x14ac:dyDescent="0.3">
      <c r="A64" s="14" t="s">
        <v>54</v>
      </c>
      <c r="B64" s="26">
        <v>12508</v>
      </c>
      <c r="C64" s="26">
        <v>12508</v>
      </c>
    </row>
    <row r="71" spans="1:2" x14ac:dyDescent="0.3">
      <c r="A71" s="22" t="s">
        <v>53</v>
      </c>
      <c r="B71" t="s">
        <v>55</v>
      </c>
    </row>
    <row r="72" spans="1:2" x14ac:dyDescent="0.3">
      <c r="A72" s="14">
        <v>10483</v>
      </c>
      <c r="B72" s="23">
        <v>0.39498042111041104</v>
      </c>
    </row>
    <row r="73" spans="1:2" x14ac:dyDescent="0.3">
      <c r="A73" s="14">
        <v>10485</v>
      </c>
      <c r="B73" s="23">
        <v>0.34586021484593943</v>
      </c>
    </row>
    <row r="74" spans="1:2" x14ac:dyDescent="0.3">
      <c r="A74" s="14">
        <v>10482</v>
      </c>
      <c r="B74" s="23">
        <v>0.25915936404364953</v>
      </c>
    </row>
    <row r="75" spans="1:2" x14ac:dyDescent="0.3">
      <c r="A75" s="14" t="s">
        <v>54</v>
      </c>
      <c r="B75" s="23">
        <v>1</v>
      </c>
    </row>
    <row r="85" spans="1:2" x14ac:dyDescent="0.3">
      <c r="A85" s="22" t="s">
        <v>8</v>
      </c>
      <c r="B85" t="e" vm="6">
        <v>#VALUE!</v>
      </c>
    </row>
    <row r="87" spans="1:2" x14ac:dyDescent="0.3">
      <c r="A87" s="22" t="s">
        <v>53</v>
      </c>
      <c r="B87" t="s">
        <v>55</v>
      </c>
    </row>
    <row r="88" spans="1:2" x14ac:dyDescent="0.3">
      <c r="A88" s="14" t="s">
        <v>58</v>
      </c>
      <c r="B88" s="25"/>
    </row>
    <row r="89" spans="1:2" x14ac:dyDescent="0.3">
      <c r="A89" s="14" t="s">
        <v>19</v>
      </c>
      <c r="B89" s="25">
        <v>79927.900000000009</v>
      </c>
    </row>
    <row r="90" spans="1:2" x14ac:dyDescent="0.3">
      <c r="A90" s="9" t="s">
        <v>23</v>
      </c>
      <c r="B90" s="25">
        <v>35853.990000000005</v>
      </c>
    </row>
    <row r="91" spans="1:2" x14ac:dyDescent="0.3">
      <c r="A91" s="27" t="s">
        <v>12</v>
      </c>
      <c r="B91" s="25">
        <v>4401.4000000000005</v>
      </c>
    </row>
    <row r="92" spans="1:2" x14ac:dyDescent="0.3">
      <c r="A92" s="27" t="s">
        <v>15</v>
      </c>
      <c r="B92" s="25">
        <v>18614.669999999998</v>
      </c>
    </row>
    <row r="93" spans="1:2" x14ac:dyDescent="0.3">
      <c r="A93" s="27" t="s">
        <v>18</v>
      </c>
      <c r="B93" s="25">
        <v>6029.7</v>
      </c>
    </row>
    <row r="94" spans="1:2" x14ac:dyDescent="0.3">
      <c r="A94" s="27" t="s">
        <v>9</v>
      </c>
      <c r="B94" s="25">
        <v>4802.2400000000007</v>
      </c>
    </row>
    <row r="95" spans="1:2" x14ac:dyDescent="0.3">
      <c r="A95" s="27" t="s">
        <v>13</v>
      </c>
      <c r="B95" s="25">
        <v>2005.98</v>
      </c>
    </row>
    <row r="96" spans="1:2" x14ac:dyDescent="0.3">
      <c r="A96" s="9" t="s">
        <v>16</v>
      </c>
      <c r="B96" s="25">
        <v>44073.91</v>
      </c>
    </row>
    <row r="97" spans="1:2" x14ac:dyDescent="0.3">
      <c r="A97" s="27" t="s">
        <v>12</v>
      </c>
      <c r="B97" s="25">
        <v>6000.3</v>
      </c>
    </row>
    <row r="98" spans="1:2" x14ac:dyDescent="0.3">
      <c r="A98" s="27" t="s">
        <v>15</v>
      </c>
      <c r="B98" s="25">
        <v>20822.97</v>
      </c>
    </row>
    <row r="99" spans="1:2" x14ac:dyDescent="0.3">
      <c r="A99" s="27" t="s">
        <v>18</v>
      </c>
      <c r="B99" s="25">
        <v>6029.7</v>
      </c>
    </row>
    <row r="100" spans="1:2" x14ac:dyDescent="0.3">
      <c r="A100" s="27" t="s">
        <v>9</v>
      </c>
      <c r="B100" s="25">
        <v>8211.9700000000012</v>
      </c>
    </row>
    <row r="101" spans="1:2" x14ac:dyDescent="0.3">
      <c r="A101" s="27" t="s">
        <v>13</v>
      </c>
      <c r="B101" s="25">
        <v>3008.9700000000003</v>
      </c>
    </row>
    <row r="102" spans="1:2" x14ac:dyDescent="0.3">
      <c r="A102" s="14" t="s">
        <v>54</v>
      </c>
      <c r="B102" s="25">
        <v>79927.900000000009</v>
      </c>
    </row>
  </sheetData>
  <conditionalFormatting pivot="1" sqref="B4:B8">
    <cfRule type="dataBar" priority="15">
      <dataBar>
        <cfvo type="min"/>
        <cfvo type="max"/>
        <color rgb="FFFFB628"/>
      </dataBar>
      <extLst>
        <ext xmlns:x14="http://schemas.microsoft.com/office/spreadsheetml/2009/9/main" uri="{B025F937-C7B1-47D3-B67F-A62EFF666E3E}">
          <x14:id>{B5899050-38BC-45E5-90EC-488604E8567D}</x14:id>
        </ext>
      </extLst>
    </cfRule>
  </conditionalFormatting>
  <conditionalFormatting pivot="1" sqref="B14:B18">
    <cfRule type="dataBar" priority="14">
      <dataBar>
        <cfvo type="min"/>
        <cfvo type="max"/>
        <color rgb="FFFFB628"/>
      </dataBar>
      <extLst>
        <ext xmlns:x14="http://schemas.microsoft.com/office/spreadsheetml/2009/9/main" uri="{B025F937-C7B1-47D3-B67F-A62EFF666E3E}">
          <x14:id>{9015EC2E-D9BC-4A62-810B-E750F09543BD}</x14:id>
        </ext>
      </extLst>
    </cfRule>
  </conditionalFormatting>
  <conditionalFormatting pivot="1" sqref="B43:B47">
    <cfRule type="dataBar" priority="13">
      <dataBar>
        <cfvo type="min"/>
        <cfvo type="max"/>
        <color rgb="FFFFB628"/>
      </dataBar>
      <extLst>
        <ext xmlns:x14="http://schemas.microsoft.com/office/spreadsheetml/2009/9/main" uri="{B025F937-C7B1-47D3-B67F-A62EFF666E3E}">
          <x14:id>{B2D482F2-5D62-4DFA-B71E-9B3F09F3539B}</x14:id>
        </ext>
      </extLst>
    </cfRule>
  </conditionalFormatting>
  <conditionalFormatting pivot="1">
    <cfRule type="dataBar" priority="12">
      <dataBar>
        <cfvo type="min"/>
        <cfvo type="max"/>
        <color rgb="FFFFB628"/>
      </dataBar>
      <extLst>
        <ext xmlns:x14="http://schemas.microsoft.com/office/spreadsheetml/2009/9/main" uri="{B025F937-C7B1-47D3-B67F-A62EFF666E3E}">
          <x14:id>{30A28BEF-2FE8-4AE2-B91D-E6951D17D419}</x14:id>
        </ext>
      </extLst>
    </cfRule>
  </conditionalFormatting>
  <conditionalFormatting pivot="1">
    <cfRule type="dataBar" priority="11">
      <dataBar>
        <cfvo type="min"/>
        <cfvo type="max"/>
        <color rgb="FFFFB628"/>
      </dataBar>
      <extLst>
        <ext xmlns:x14="http://schemas.microsoft.com/office/spreadsheetml/2009/9/main" uri="{B025F937-C7B1-47D3-B67F-A62EFF666E3E}">
          <x14:id>{2C0DF6E5-95DF-4F99-BE62-0DEF1AC75368}</x14:id>
        </ext>
      </extLst>
    </cfRule>
  </conditionalFormatting>
  <conditionalFormatting pivot="1">
    <cfRule type="dataBar" priority="10">
      <dataBar>
        <cfvo type="min"/>
        <cfvo type="max"/>
        <color rgb="FFFFB628"/>
      </dataBar>
      <extLst>
        <ext xmlns:x14="http://schemas.microsoft.com/office/spreadsheetml/2009/9/main" uri="{B025F937-C7B1-47D3-B67F-A62EFF666E3E}">
          <x14:id>{19D032A5-AA78-4C96-B7A1-209B09077D9D}</x14:id>
        </ext>
      </extLst>
    </cfRule>
  </conditionalFormatting>
  <conditionalFormatting pivot="1">
    <cfRule type="dataBar" priority="9">
      <dataBar>
        <cfvo type="min"/>
        <cfvo type="max"/>
        <color rgb="FFFFB628"/>
      </dataBar>
      <extLst>
        <ext xmlns:x14="http://schemas.microsoft.com/office/spreadsheetml/2009/9/main" uri="{B025F937-C7B1-47D3-B67F-A62EFF666E3E}">
          <x14:id>{4EE647C3-F842-4138-B7A7-FC8FF18CD40D}</x14:id>
        </ext>
      </extLst>
    </cfRule>
  </conditionalFormatting>
  <conditionalFormatting pivot="1" sqref="B91:B95">
    <cfRule type="dataBar" priority="8">
      <dataBar>
        <cfvo type="min"/>
        <cfvo type="max"/>
        <color rgb="FFFFB628"/>
      </dataBar>
      <extLst>
        <ext xmlns:x14="http://schemas.microsoft.com/office/spreadsheetml/2009/9/main" uri="{B025F937-C7B1-47D3-B67F-A62EFF666E3E}">
          <x14:id>{97DA0FE3-E5FD-4191-9390-63BFB7DCD577}</x14:id>
        </ext>
      </extLst>
    </cfRule>
  </conditionalFormatting>
  <conditionalFormatting pivot="1" sqref="B97:B101">
    <cfRule type="dataBar" priority="7">
      <dataBar>
        <cfvo type="min"/>
        <cfvo type="max"/>
        <color rgb="FFFFB628"/>
      </dataBar>
      <extLst>
        <ext xmlns:x14="http://schemas.microsoft.com/office/spreadsheetml/2009/9/main" uri="{B025F937-C7B1-47D3-B67F-A62EFF666E3E}">
          <x14:id>{F2A5DDF4-476F-4199-A208-F58F3AC9B640}</x14:id>
        </ext>
      </extLst>
    </cfRule>
  </conditionalFormatting>
  <conditionalFormatting pivot="1">
    <cfRule type="dataBar" priority="6">
      <dataBar>
        <cfvo type="min"/>
        <cfvo type="max"/>
        <color rgb="FFFFB628"/>
      </dataBar>
      <extLst>
        <ext xmlns:x14="http://schemas.microsoft.com/office/spreadsheetml/2009/9/main" uri="{B025F937-C7B1-47D3-B67F-A62EFF666E3E}">
          <x14:id>{AEBD8A3B-1396-48D6-88ED-734E9C3AC38E}</x14:id>
        </ext>
      </extLst>
    </cfRule>
  </conditionalFormatting>
  <conditionalFormatting pivot="1">
    <cfRule type="dataBar" priority="5">
      <dataBar>
        <cfvo type="min"/>
        <cfvo type="max"/>
        <color rgb="FFFFB628"/>
      </dataBar>
      <extLst>
        <ext xmlns:x14="http://schemas.microsoft.com/office/spreadsheetml/2009/9/main" uri="{B025F937-C7B1-47D3-B67F-A62EFF666E3E}">
          <x14:id>{BE72D5E9-6D17-42FF-BBB1-FDCFD6304736}</x14:id>
        </ext>
      </extLst>
    </cfRule>
  </conditionalFormatting>
  <conditionalFormatting pivot="1">
    <cfRule type="dataBar" priority="4">
      <dataBar>
        <cfvo type="min"/>
        <cfvo type="max"/>
        <color rgb="FFFFB628"/>
      </dataBar>
      <extLst>
        <ext xmlns:x14="http://schemas.microsoft.com/office/spreadsheetml/2009/9/main" uri="{B025F937-C7B1-47D3-B67F-A62EFF666E3E}">
          <x14:id>{9311DE9A-6AC9-4407-8167-4DF284AC93A2}</x14:id>
        </ext>
      </extLst>
    </cfRule>
  </conditionalFormatting>
  <conditionalFormatting pivot="1">
    <cfRule type="dataBar" priority="3">
      <dataBar>
        <cfvo type="min"/>
        <cfvo type="max"/>
        <color rgb="FFFFB628"/>
      </dataBar>
      <extLst>
        <ext xmlns:x14="http://schemas.microsoft.com/office/spreadsheetml/2009/9/main" uri="{B025F937-C7B1-47D3-B67F-A62EFF666E3E}">
          <x14:id>{6B97F1E7-E0E9-40FD-9646-5C64273C772B}</x14:id>
        </ext>
      </extLst>
    </cfRule>
  </conditionalFormatting>
  <conditionalFormatting pivot="1">
    <cfRule type="dataBar" priority="2">
      <dataBar>
        <cfvo type="min"/>
        <cfvo type="max"/>
        <color rgb="FFFFB628"/>
      </dataBar>
      <extLst>
        <ext xmlns:x14="http://schemas.microsoft.com/office/spreadsheetml/2009/9/main" uri="{B025F937-C7B1-47D3-B67F-A62EFF666E3E}">
          <x14:id>{6B4C5454-962A-436A-8983-456F38B819A1}</x14:id>
        </ext>
      </extLst>
    </cfRule>
  </conditionalFormatting>
  <conditionalFormatting pivot="1">
    <cfRule type="dataBar" priority="1">
      <dataBar>
        <cfvo type="min"/>
        <cfvo type="max"/>
        <color rgb="FFFFB628"/>
      </dataBar>
      <extLst>
        <ext xmlns:x14="http://schemas.microsoft.com/office/spreadsheetml/2009/9/main" uri="{B025F937-C7B1-47D3-B67F-A62EFF666E3E}">
          <x14:id>{6AACC960-E604-400F-A857-00F99060D426}</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B5899050-38BC-45E5-90EC-488604E8567D}">
            <x14:dataBar minLength="0" maxLength="100" gradient="0">
              <x14:cfvo type="autoMin"/>
              <x14:cfvo type="autoMax"/>
              <x14:negativeFillColor rgb="FFFF0000"/>
              <x14:axisColor rgb="FF000000"/>
            </x14:dataBar>
          </x14:cfRule>
          <xm:sqref>B4:B8</xm:sqref>
        </x14:conditionalFormatting>
        <x14:conditionalFormatting xmlns:xm="http://schemas.microsoft.com/office/excel/2006/main" pivot="1">
          <x14:cfRule type="dataBar" id="{9015EC2E-D9BC-4A62-810B-E750F09543BD}">
            <x14:dataBar minLength="0" maxLength="100" border="1" negativeBarBorderColorSameAsPositive="0">
              <x14:cfvo type="autoMin"/>
              <x14:cfvo type="autoMax"/>
              <x14:borderColor rgb="FFFFB628"/>
              <x14:negativeFillColor rgb="FFFF0000"/>
              <x14:negativeBorderColor rgb="FFFF0000"/>
              <x14:axisColor rgb="FF000000"/>
            </x14:dataBar>
          </x14:cfRule>
          <xm:sqref>B14:B18</xm:sqref>
        </x14:conditionalFormatting>
        <x14:conditionalFormatting xmlns:xm="http://schemas.microsoft.com/office/excel/2006/main" pivot="1">
          <x14:cfRule type="dataBar" id="{B2D482F2-5D62-4DFA-B71E-9B3F09F3539B}">
            <x14:dataBar minLength="0" maxLength="100" border="1" negativeBarBorderColorSameAsPositive="0">
              <x14:cfvo type="autoMin"/>
              <x14:cfvo type="autoMax"/>
              <x14:borderColor rgb="FFFFB628"/>
              <x14:negativeFillColor rgb="FFFF0000"/>
              <x14:negativeBorderColor rgb="FFFF0000"/>
              <x14:axisColor rgb="FF000000"/>
            </x14:dataBar>
          </x14:cfRule>
          <xm:sqref>B43:B47</xm:sqref>
        </x14:conditionalFormatting>
        <x14:conditionalFormatting xmlns:xm="http://schemas.microsoft.com/office/excel/2006/main" pivot="1">
          <x14:cfRule type="dataBar" id="{30A28BEF-2FE8-4AE2-B91D-E6951D17D419}">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2C0DF6E5-95DF-4F99-BE62-0DEF1AC75368}">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19D032A5-AA78-4C96-B7A1-209B09077D9D}">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4EE647C3-F842-4138-B7A7-FC8FF18CD40D}">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97DA0FE3-E5FD-4191-9390-63BFB7DCD577}">
            <x14:dataBar minLength="0" maxLength="100" border="1" negativeBarBorderColorSameAsPositive="0">
              <x14:cfvo type="autoMin"/>
              <x14:cfvo type="autoMax"/>
              <x14:borderColor rgb="FFFFB628"/>
              <x14:negativeFillColor rgb="FFFF0000"/>
              <x14:negativeBorderColor rgb="FFFF0000"/>
              <x14:axisColor rgb="FF000000"/>
            </x14:dataBar>
          </x14:cfRule>
          <xm:sqref>B91:B95</xm:sqref>
        </x14:conditionalFormatting>
        <x14:conditionalFormatting xmlns:xm="http://schemas.microsoft.com/office/excel/2006/main" pivot="1">
          <x14:cfRule type="dataBar" id="{F2A5DDF4-476F-4199-A208-F58F3AC9B640}">
            <x14:dataBar minLength="0" maxLength="100" border="1" negativeBarBorderColorSameAsPositive="0">
              <x14:cfvo type="autoMin"/>
              <x14:cfvo type="autoMax"/>
              <x14:borderColor rgb="FFFFB628"/>
              <x14:negativeFillColor rgb="FFFF0000"/>
              <x14:negativeBorderColor rgb="FFFF0000"/>
              <x14:axisColor rgb="FF000000"/>
            </x14:dataBar>
          </x14:cfRule>
          <xm:sqref>B97:B101</xm:sqref>
        </x14:conditionalFormatting>
        <x14:conditionalFormatting xmlns:xm="http://schemas.microsoft.com/office/excel/2006/main" pivot="1">
          <x14:cfRule type="dataBar" id="{AEBD8A3B-1396-48D6-88ED-734E9C3AC38E}">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BE72D5E9-6D17-42FF-BBB1-FDCFD6304736}">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9311DE9A-6AC9-4407-8167-4DF284AC93A2}">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6B97F1E7-E0E9-40FD-9646-5C64273C772B}">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6B4C5454-962A-436A-8983-456F38B819A1}">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6AACC960-E604-400F-A857-00F99060D426}">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P259"/>
  <sheetViews>
    <sheetView topLeftCell="A231" zoomScale="90" zoomScaleNormal="70" workbookViewId="0">
      <selection activeCell="C4" sqref="C4"/>
    </sheetView>
  </sheetViews>
  <sheetFormatPr defaultColWidth="10.69921875" defaultRowHeight="15.6" x14ac:dyDescent="0.3"/>
  <cols>
    <col min="4" max="4" width="17.296875" customWidth="1"/>
    <col min="6" max="6" width="14.69921875" customWidth="1"/>
    <col min="7" max="7" width="17.19921875" customWidth="1"/>
    <col min="8" max="8" width="15.3984375" customWidth="1"/>
    <col min="10" max="10" width="17.5" customWidth="1"/>
    <col min="11" max="11" width="14.296875" customWidth="1"/>
    <col min="12" max="12" width="16.09765625" customWidth="1"/>
    <col min="14" max="14" width="15.3984375" customWidth="1"/>
    <col min="15" max="15" width="20.296875" customWidth="1"/>
    <col min="16" max="16" width="15.3984375" customWidth="1"/>
  </cols>
  <sheetData>
    <row r="2" spans="2:16" ht="16.2" thickBot="1" x14ac:dyDescent="0.35">
      <c r="B2" s="1" t="s">
        <v>0</v>
      </c>
      <c r="C2" s="1" t="s">
        <v>1</v>
      </c>
      <c r="D2" s="1" t="s">
        <v>2</v>
      </c>
      <c r="E2" s="2" t="s">
        <v>3</v>
      </c>
      <c r="F2" s="1" t="s">
        <v>5</v>
      </c>
      <c r="G2" s="1" t="s">
        <v>6</v>
      </c>
      <c r="H2" s="1" t="s">
        <v>35</v>
      </c>
      <c r="I2" s="1" t="s">
        <v>4</v>
      </c>
      <c r="J2" s="1" t="s">
        <v>8</v>
      </c>
      <c r="K2" s="1" t="s">
        <v>36</v>
      </c>
      <c r="L2" s="1" t="s">
        <v>52</v>
      </c>
    </row>
    <row r="3" spans="2:16" x14ac:dyDescent="0.3">
      <c r="B3" s="3">
        <v>10452</v>
      </c>
      <c r="C3" s="4">
        <v>44872</v>
      </c>
      <c r="D3" t="s">
        <v>9</v>
      </c>
      <c r="E3" s="3">
        <v>3.49</v>
      </c>
      <c r="F3" s="3" t="s">
        <v>10</v>
      </c>
      <c r="G3" s="3" t="s">
        <v>11</v>
      </c>
      <c r="H3" t="s">
        <v>24</v>
      </c>
      <c r="I3">
        <v>574</v>
      </c>
      <c r="J3" t="e" vm="7">
        <v>#VALUE!</v>
      </c>
      <c r="K3" t="e" cm="1" vm="3">
        <f t="array" aca="1" ref="K3" ca="1">_FV(Tabella2[[#This Row],[City]],"Paese/area geografica",TRUE)</f>
        <v>#VALUE!</v>
      </c>
      <c r="L3">
        <f>Tabella2[[#This Row],[Quantity]]*Tabella2[[#This Row],[Price]]</f>
        <v>2003.2600000000002</v>
      </c>
      <c r="O3" s="21" t="s">
        <v>50</v>
      </c>
      <c r="P3" s="21"/>
    </row>
    <row r="4" spans="2:16" x14ac:dyDescent="0.3">
      <c r="B4" s="3">
        <v>10453</v>
      </c>
      <c r="C4" s="4">
        <v>44872</v>
      </c>
      <c r="D4" t="s">
        <v>12</v>
      </c>
      <c r="E4" s="3">
        <v>2.95</v>
      </c>
      <c r="F4" s="3" t="s">
        <v>10</v>
      </c>
      <c r="G4" s="3" t="s">
        <v>11</v>
      </c>
      <c r="H4" t="s">
        <v>20</v>
      </c>
      <c r="I4">
        <v>746</v>
      </c>
      <c r="J4" t="e" vm="8">
        <v>#VALUE!</v>
      </c>
      <c r="K4" t="e" cm="1" vm="5">
        <f t="array" aca="1" ref="K4" ca="1">_FV(Tabella2[[#This Row],[City]],"Paese/area geografica",TRUE)</f>
        <v>#VALUE!</v>
      </c>
      <c r="L4">
        <f>Tabella2[[#This Row],[Quantity]]*Tabella2[[#This Row],[Price]]</f>
        <v>2200.7000000000003</v>
      </c>
    </row>
    <row r="5" spans="2:16" x14ac:dyDescent="0.3">
      <c r="B5" s="3">
        <v>10454</v>
      </c>
      <c r="C5" s="4">
        <v>44872</v>
      </c>
      <c r="D5" t="s">
        <v>13</v>
      </c>
      <c r="E5" s="3">
        <v>4.99</v>
      </c>
      <c r="F5" s="3" t="s">
        <v>14</v>
      </c>
      <c r="G5" s="3" t="s">
        <v>11</v>
      </c>
      <c r="H5" t="s">
        <v>21</v>
      </c>
      <c r="I5">
        <v>201</v>
      </c>
      <c r="J5" t="e" vm="9">
        <v>#VALUE!</v>
      </c>
      <c r="K5" t="e" cm="1" vm="4">
        <f t="array" aca="1" ref="K5" ca="1">_FV(Tabella2[[#This Row],[City]],"Paese/area geografica",TRUE)</f>
        <v>#VALUE!</v>
      </c>
      <c r="L5">
        <f>Tabella2[[#This Row],[Quantity]]*Tabella2[[#This Row],[Price]]</f>
        <v>1002.99</v>
      </c>
      <c r="O5" t="s">
        <v>37</v>
      </c>
      <c r="P5">
        <v>7.3410116731517689</v>
      </c>
    </row>
    <row r="6" spans="2:16" x14ac:dyDescent="0.3">
      <c r="B6" s="3">
        <v>10455</v>
      </c>
      <c r="C6" s="4">
        <v>44873</v>
      </c>
      <c r="D6" t="s">
        <v>15</v>
      </c>
      <c r="E6" s="3">
        <v>12.99</v>
      </c>
      <c r="F6" s="3" t="s">
        <v>14</v>
      </c>
      <c r="G6" s="3" t="s">
        <v>16</v>
      </c>
      <c r="H6" t="s">
        <v>17</v>
      </c>
      <c r="I6">
        <v>570</v>
      </c>
      <c r="J6" t="e" vm="10">
        <v>#VALUE!</v>
      </c>
      <c r="K6" t="e" cm="1" vm="2">
        <f t="array" aca="1" ref="K6" ca="1">_FV(Tabella2[[#This Row],[City]],"Paese/area geografica",TRUE)</f>
        <v>#VALUE!</v>
      </c>
      <c r="L6">
        <f>Tabella2[[#This Row],[Quantity]]*Tabella2[[#This Row],[Price]]</f>
        <v>7404.3</v>
      </c>
      <c r="O6" t="s">
        <v>38</v>
      </c>
      <c r="P6">
        <v>0.30396506095791431</v>
      </c>
    </row>
    <row r="7" spans="2:16" x14ac:dyDescent="0.3">
      <c r="B7" s="3">
        <v>10456</v>
      </c>
      <c r="C7" s="4">
        <v>44873</v>
      </c>
      <c r="D7" t="s">
        <v>18</v>
      </c>
      <c r="E7" s="3">
        <v>9.9499999999999993</v>
      </c>
      <c r="F7" s="3" t="s">
        <v>14</v>
      </c>
      <c r="G7" s="3" t="s">
        <v>16</v>
      </c>
      <c r="H7" t="s">
        <v>17</v>
      </c>
      <c r="I7">
        <v>202</v>
      </c>
      <c r="J7" t="e" vm="10">
        <v>#VALUE!</v>
      </c>
      <c r="K7" t="e" cm="1" vm="2">
        <f t="array" aca="1" ref="K7" ca="1">_FV(Tabella2[[#This Row],[City]],"Paese/area geografica",TRUE)</f>
        <v>#VALUE!</v>
      </c>
      <c r="L7">
        <f>Tabella2[[#This Row],[Quantity]]*Tabella2[[#This Row],[Price]]</f>
        <v>2009.8999999999999</v>
      </c>
      <c r="O7" t="s">
        <v>39</v>
      </c>
      <c r="P7">
        <v>4.99</v>
      </c>
    </row>
    <row r="8" spans="2:16" x14ac:dyDescent="0.3">
      <c r="B8" s="3">
        <v>10457</v>
      </c>
      <c r="C8" s="4">
        <v>44873</v>
      </c>
      <c r="D8" t="s">
        <v>9</v>
      </c>
      <c r="E8" s="3">
        <v>3.49</v>
      </c>
      <c r="F8" s="3" t="s">
        <v>14</v>
      </c>
      <c r="G8" s="3" t="s">
        <v>16</v>
      </c>
      <c r="H8" t="s">
        <v>19</v>
      </c>
      <c r="I8">
        <v>574</v>
      </c>
      <c r="J8" t="e" vm="6">
        <v>#VALUE!</v>
      </c>
      <c r="K8" t="e" cm="1" vm="1">
        <f t="array" aca="1" ref="K8" ca="1">_FV(Tabella2[[#This Row],[City]],"Paese/area geografica",TRUE)</f>
        <v>#VALUE!</v>
      </c>
      <c r="L8">
        <f>Tabella2[[#This Row],[Quantity]]*Tabella2[[#This Row],[Price]]</f>
        <v>2003.2600000000002</v>
      </c>
      <c r="O8" t="s">
        <v>40</v>
      </c>
      <c r="P8">
        <v>12.99</v>
      </c>
    </row>
    <row r="9" spans="2:16" x14ac:dyDescent="0.3">
      <c r="B9" s="3">
        <v>10459</v>
      </c>
      <c r="C9" s="4">
        <v>44873</v>
      </c>
      <c r="D9" t="s">
        <v>13</v>
      </c>
      <c r="E9" s="3">
        <v>4.99</v>
      </c>
      <c r="F9" s="3" t="s">
        <v>14</v>
      </c>
      <c r="G9" s="3" t="s">
        <v>16</v>
      </c>
      <c r="H9" t="s">
        <v>17</v>
      </c>
      <c r="I9">
        <v>201</v>
      </c>
      <c r="J9" t="e" vm="10">
        <v>#VALUE!</v>
      </c>
      <c r="K9" t="e" cm="1" vm="2">
        <f t="array" aca="1" ref="K9" ca="1">_FV(Tabella2[[#This Row],[City]],"Paese/area geografica",TRUE)</f>
        <v>#VALUE!</v>
      </c>
      <c r="L9">
        <f>Tabella2[[#This Row],[Quantity]]*Tabella2[[#This Row],[Price]]</f>
        <v>1002.99</v>
      </c>
      <c r="O9" t="s">
        <v>41</v>
      </c>
      <c r="P9">
        <v>4.8729306252776867</v>
      </c>
    </row>
    <row r="10" spans="2:16" x14ac:dyDescent="0.3">
      <c r="B10" s="3">
        <v>10460</v>
      </c>
      <c r="C10" s="4">
        <v>44874</v>
      </c>
      <c r="D10" t="s">
        <v>15</v>
      </c>
      <c r="E10" s="3">
        <v>12.99</v>
      </c>
      <c r="F10" s="3" t="s">
        <v>14</v>
      </c>
      <c r="G10" s="3" t="s">
        <v>16</v>
      </c>
      <c r="H10" t="s">
        <v>19</v>
      </c>
      <c r="I10">
        <v>555</v>
      </c>
      <c r="J10" t="e" vm="6">
        <v>#VALUE!</v>
      </c>
      <c r="K10" t="e" cm="1" vm="1">
        <f t="array" aca="1" ref="K10" ca="1">_FV(Tabella2[[#This Row],[City]],"Paese/area geografica",TRUE)</f>
        <v>#VALUE!</v>
      </c>
      <c r="L10">
        <f>Tabella2[[#This Row],[Quantity]]*Tabella2[[#This Row],[Price]]</f>
        <v>7209.45</v>
      </c>
      <c r="O10" t="s">
        <v>42</v>
      </c>
      <c r="P10">
        <v>23.745452878769186</v>
      </c>
    </row>
    <row r="11" spans="2:16" x14ac:dyDescent="0.3">
      <c r="B11" s="3">
        <v>10461</v>
      </c>
      <c r="C11" s="4">
        <v>44874</v>
      </c>
      <c r="D11" t="s">
        <v>18</v>
      </c>
      <c r="E11" s="3">
        <v>9.9499999999999993</v>
      </c>
      <c r="F11" s="3" t="s">
        <v>14</v>
      </c>
      <c r="G11" s="3" t="s">
        <v>16</v>
      </c>
      <c r="H11" t="s">
        <v>19</v>
      </c>
      <c r="I11">
        <v>202</v>
      </c>
      <c r="J11" t="e" vm="6">
        <v>#VALUE!</v>
      </c>
      <c r="K11" t="e" cm="1" vm="1">
        <f t="array" aca="1" ref="K11" ca="1">_FV(Tabella2[[#This Row],[City]],"Paese/area geografica",TRUE)</f>
        <v>#VALUE!</v>
      </c>
      <c r="L11">
        <f>Tabella2[[#This Row],[Quantity]]*Tabella2[[#This Row],[Price]]</f>
        <v>2009.8999999999999</v>
      </c>
      <c r="O11" t="s">
        <v>43</v>
      </c>
      <c r="P11">
        <v>4.6742476071303694</v>
      </c>
    </row>
    <row r="12" spans="2:16" x14ac:dyDescent="0.3">
      <c r="B12" s="3">
        <v>10462</v>
      </c>
      <c r="C12" s="4">
        <v>44874</v>
      </c>
      <c r="D12" t="s">
        <v>9</v>
      </c>
      <c r="E12" s="3">
        <v>3.49</v>
      </c>
      <c r="F12" s="3" t="s">
        <v>14</v>
      </c>
      <c r="G12" s="3" t="s">
        <v>16</v>
      </c>
      <c r="H12" t="s">
        <v>19</v>
      </c>
      <c r="I12">
        <v>574</v>
      </c>
      <c r="J12" t="e" vm="6">
        <v>#VALUE!</v>
      </c>
      <c r="K12" t="e" cm="1" vm="1">
        <f t="array" aca="1" ref="K12" ca="1">_FV(Tabella2[[#This Row],[City]],"Paese/area geografica",TRUE)</f>
        <v>#VALUE!</v>
      </c>
      <c r="L12">
        <f>Tabella2[[#This Row],[Quantity]]*Tabella2[[#This Row],[Price]]</f>
        <v>2003.2600000000002</v>
      </c>
      <c r="O12" t="s">
        <v>44</v>
      </c>
      <c r="P12">
        <v>1.6233288756456574</v>
      </c>
    </row>
    <row r="13" spans="2:16" x14ac:dyDescent="0.3">
      <c r="B13" s="3">
        <v>10463</v>
      </c>
      <c r="C13" s="4">
        <v>44874</v>
      </c>
      <c r="D13" t="s">
        <v>12</v>
      </c>
      <c r="E13" s="3">
        <v>2.95</v>
      </c>
      <c r="F13" s="3" t="s">
        <v>14</v>
      </c>
      <c r="G13" s="3" t="s">
        <v>16</v>
      </c>
      <c r="H13" t="s">
        <v>19</v>
      </c>
      <c r="I13">
        <v>678</v>
      </c>
      <c r="J13" t="e" vm="6">
        <v>#VALUE!</v>
      </c>
      <c r="K13" t="e" cm="1" vm="1">
        <f t="array" aca="1" ref="K13" ca="1">_FV(Tabella2[[#This Row],[City]],"Paese/area geografica",TRUE)</f>
        <v>#VALUE!</v>
      </c>
      <c r="L13">
        <f>Tabella2[[#This Row],[Quantity]]*Tabella2[[#This Row],[Price]]</f>
        <v>2000.1000000000001</v>
      </c>
      <c r="O13" t="s">
        <v>45</v>
      </c>
      <c r="P13">
        <v>30.27</v>
      </c>
    </row>
    <row r="14" spans="2:16" x14ac:dyDescent="0.3">
      <c r="B14" s="3">
        <v>10464</v>
      </c>
      <c r="C14" s="4">
        <v>44874</v>
      </c>
      <c r="D14" t="s">
        <v>13</v>
      </c>
      <c r="E14" s="3">
        <v>4.99</v>
      </c>
      <c r="F14" s="3" t="s">
        <v>14</v>
      </c>
      <c r="G14" s="3" t="s">
        <v>16</v>
      </c>
      <c r="H14" t="s">
        <v>19</v>
      </c>
      <c r="I14">
        <v>201</v>
      </c>
      <c r="J14" t="e" vm="6">
        <v>#VALUE!</v>
      </c>
      <c r="K14" t="e" cm="1" vm="1">
        <f t="array" aca="1" ref="K14" ca="1">_FV(Tabella2[[#This Row],[City]],"Paese/area geografica",TRUE)</f>
        <v>#VALUE!</v>
      </c>
      <c r="L14">
        <f>Tabella2[[#This Row],[Quantity]]*Tabella2[[#This Row],[Price]]</f>
        <v>1002.99</v>
      </c>
      <c r="O14" t="s">
        <v>46</v>
      </c>
      <c r="P14">
        <v>2.95</v>
      </c>
    </row>
    <row r="15" spans="2:16" x14ac:dyDescent="0.3">
      <c r="B15" s="3">
        <v>10465</v>
      </c>
      <c r="C15" s="4">
        <v>44875</v>
      </c>
      <c r="D15" t="s">
        <v>15</v>
      </c>
      <c r="E15" s="3">
        <v>12.99</v>
      </c>
      <c r="F15" s="3" t="s">
        <v>14</v>
      </c>
      <c r="G15" s="3" t="s">
        <v>16</v>
      </c>
      <c r="H15" t="s">
        <v>20</v>
      </c>
      <c r="I15">
        <v>555</v>
      </c>
      <c r="J15" t="e" vm="8">
        <v>#VALUE!</v>
      </c>
      <c r="K15" t="e" cm="1" vm="5">
        <f t="array" aca="1" ref="K15" ca="1">_FV(Tabella2[[#This Row],[City]],"Paese/area geografica",TRUE)</f>
        <v>#VALUE!</v>
      </c>
      <c r="L15">
        <f>Tabella2[[#This Row],[Quantity]]*Tabella2[[#This Row],[Price]]</f>
        <v>7209.45</v>
      </c>
      <c r="O15" t="s">
        <v>47</v>
      </c>
      <c r="P15">
        <v>33.22</v>
      </c>
    </row>
    <row r="16" spans="2:16" x14ac:dyDescent="0.3">
      <c r="B16" s="3">
        <v>10466</v>
      </c>
      <c r="C16" s="4">
        <v>44875</v>
      </c>
      <c r="D16" t="s">
        <v>18</v>
      </c>
      <c r="E16" s="3">
        <v>9.9499999999999993</v>
      </c>
      <c r="F16" s="3" t="s">
        <v>14</v>
      </c>
      <c r="G16" s="3" t="s">
        <v>16</v>
      </c>
      <c r="H16" t="s">
        <v>20</v>
      </c>
      <c r="I16">
        <v>202</v>
      </c>
      <c r="J16" t="e" vm="8">
        <v>#VALUE!</v>
      </c>
      <c r="K16" t="e" cm="1" vm="5">
        <f t="array" aca="1" ref="K16" ca="1">_FV(Tabella2[[#This Row],[City]],"Paese/area geografica",TRUE)</f>
        <v>#VALUE!</v>
      </c>
      <c r="L16">
        <f>Tabella2[[#This Row],[Quantity]]*Tabella2[[#This Row],[Price]]</f>
        <v>2009.8999999999999</v>
      </c>
      <c r="O16" t="s">
        <v>48</v>
      </c>
      <c r="P16">
        <v>1886.6400000000046</v>
      </c>
    </row>
    <row r="17" spans="2:16" ht="16.2" thickBot="1" x14ac:dyDescent="0.35">
      <c r="B17" s="3">
        <v>10467</v>
      </c>
      <c r="C17" s="4">
        <v>44875</v>
      </c>
      <c r="D17" t="s">
        <v>9</v>
      </c>
      <c r="E17" s="3">
        <v>3.49</v>
      </c>
      <c r="F17" s="3" t="s">
        <v>14</v>
      </c>
      <c r="G17" s="3" t="s">
        <v>16</v>
      </c>
      <c r="H17" t="s">
        <v>20</v>
      </c>
      <c r="I17">
        <v>574</v>
      </c>
      <c r="J17" t="e" vm="8">
        <v>#VALUE!</v>
      </c>
      <c r="K17" t="e" cm="1" vm="5">
        <f t="array" aca="1" ref="K17" ca="1">_FV(Tabella2[[#This Row],[City]],"Paese/area geografica",TRUE)</f>
        <v>#VALUE!</v>
      </c>
      <c r="L17">
        <f>Tabella2[[#This Row],[Quantity]]*Tabella2[[#This Row],[Price]]</f>
        <v>2003.2600000000002</v>
      </c>
      <c r="O17" s="20" t="s">
        <v>49</v>
      </c>
      <c r="P17" s="20">
        <v>257</v>
      </c>
    </row>
    <row r="18" spans="2:16" x14ac:dyDescent="0.3">
      <c r="B18" s="3">
        <v>10468</v>
      </c>
      <c r="C18" s="4">
        <v>44875</v>
      </c>
      <c r="D18" t="s">
        <v>12</v>
      </c>
      <c r="E18" s="3">
        <v>2.95</v>
      </c>
      <c r="F18" s="3" t="s">
        <v>14</v>
      </c>
      <c r="G18" s="3" t="s">
        <v>16</v>
      </c>
      <c r="H18" t="s">
        <v>20</v>
      </c>
      <c r="I18">
        <v>678</v>
      </c>
      <c r="J18" t="e" vm="8">
        <v>#VALUE!</v>
      </c>
      <c r="K18" t="e" cm="1" vm="5">
        <f t="array" aca="1" ref="K18" ca="1">_FV(Tabella2[[#This Row],[City]],"Paese/area geografica",TRUE)</f>
        <v>#VALUE!</v>
      </c>
      <c r="L18">
        <f>Tabella2[[#This Row],[Quantity]]*Tabella2[[#This Row],[Price]]</f>
        <v>2000.1000000000001</v>
      </c>
    </row>
    <row r="19" spans="2:16" ht="16.2" thickBot="1" x14ac:dyDescent="0.35">
      <c r="B19" s="3">
        <v>10470</v>
      </c>
      <c r="C19" s="4">
        <v>44876</v>
      </c>
      <c r="D19" t="s">
        <v>15</v>
      </c>
      <c r="E19" s="3">
        <v>12.99</v>
      </c>
      <c r="F19" s="3" t="s">
        <v>14</v>
      </c>
      <c r="G19" s="3" t="s">
        <v>16</v>
      </c>
      <c r="H19" t="s">
        <v>20</v>
      </c>
      <c r="I19">
        <v>555</v>
      </c>
      <c r="J19" t="e" vm="8">
        <v>#VALUE!</v>
      </c>
      <c r="K19" t="e" cm="1" vm="5">
        <f t="array" aca="1" ref="K19" ca="1">_FV(Tabella2[[#This Row],[City]],"Paese/area geografica",TRUE)</f>
        <v>#VALUE!</v>
      </c>
      <c r="L19">
        <f>Tabella2[[#This Row],[Quantity]]*Tabella2[[#This Row],[Price]]</f>
        <v>7209.45</v>
      </c>
    </row>
    <row r="20" spans="2:16" x14ac:dyDescent="0.3">
      <c r="B20" s="3">
        <v>10471</v>
      </c>
      <c r="C20" s="4">
        <v>44876</v>
      </c>
      <c r="D20" t="s">
        <v>18</v>
      </c>
      <c r="E20" s="3">
        <v>9.9499999999999993</v>
      </c>
      <c r="F20" s="3" t="s">
        <v>14</v>
      </c>
      <c r="G20" s="3" t="s">
        <v>16</v>
      </c>
      <c r="H20" t="s">
        <v>20</v>
      </c>
      <c r="I20">
        <v>202</v>
      </c>
      <c r="J20" t="e" vm="8">
        <v>#VALUE!</v>
      </c>
      <c r="K20" t="e" cm="1" vm="5">
        <f t="array" aca="1" ref="K20" ca="1">_FV(Tabella2[[#This Row],[City]],"Paese/area geografica",TRUE)</f>
        <v>#VALUE!</v>
      </c>
      <c r="L20">
        <f>Tabella2[[#This Row],[Quantity]]*Tabella2[[#This Row],[Price]]</f>
        <v>2009.8999999999999</v>
      </c>
      <c r="O20" s="21" t="s">
        <v>51</v>
      </c>
      <c r="P20" s="21"/>
    </row>
    <row r="21" spans="2:16" x14ac:dyDescent="0.3">
      <c r="B21" s="3">
        <v>10472</v>
      </c>
      <c r="C21" s="4">
        <v>44876</v>
      </c>
      <c r="D21" t="s">
        <v>9</v>
      </c>
      <c r="E21" s="3">
        <v>3.49</v>
      </c>
      <c r="F21" s="3" t="s">
        <v>14</v>
      </c>
      <c r="G21" s="3" t="s">
        <v>16</v>
      </c>
      <c r="H21" t="s">
        <v>20</v>
      </c>
      <c r="I21">
        <v>631</v>
      </c>
      <c r="J21" t="e" vm="8">
        <v>#VALUE!</v>
      </c>
      <c r="K21" t="e" cm="1" vm="5">
        <f t="array" aca="1" ref="K21" ca="1">_FV(Tabella2[[#This Row],[City]],"Paese/area geografica",TRUE)</f>
        <v>#VALUE!</v>
      </c>
      <c r="L21">
        <f>Tabella2[[#This Row],[Quantity]]*Tabella2[[#This Row],[Price]]</f>
        <v>2202.19</v>
      </c>
    </row>
    <row r="22" spans="2:16" x14ac:dyDescent="0.3">
      <c r="B22" s="3">
        <v>10473</v>
      </c>
      <c r="C22" s="4">
        <v>44876</v>
      </c>
      <c r="D22" t="s">
        <v>12</v>
      </c>
      <c r="E22" s="3">
        <v>2.95</v>
      </c>
      <c r="F22" s="3" t="s">
        <v>14</v>
      </c>
      <c r="G22" s="3" t="s">
        <v>16</v>
      </c>
      <c r="H22" t="s">
        <v>20</v>
      </c>
      <c r="I22">
        <v>678</v>
      </c>
      <c r="J22" t="e" vm="8">
        <v>#VALUE!</v>
      </c>
      <c r="K22" t="e" cm="1" vm="5">
        <f t="array" aca="1" ref="K22" ca="1">_FV(Tabella2[[#This Row],[City]],"Paese/area geografica",TRUE)</f>
        <v>#VALUE!</v>
      </c>
      <c r="L22">
        <f>Tabella2[[#This Row],[Quantity]]*Tabella2[[#This Row],[Price]]</f>
        <v>2000.1000000000001</v>
      </c>
      <c r="O22" t="s">
        <v>37</v>
      </c>
      <c r="P22">
        <v>461.24124513618676</v>
      </c>
    </row>
    <row r="23" spans="2:16" x14ac:dyDescent="0.3">
      <c r="B23" s="3">
        <v>10474</v>
      </c>
      <c r="C23" s="4">
        <v>44876</v>
      </c>
      <c r="D23" t="s">
        <v>13</v>
      </c>
      <c r="E23" s="3">
        <v>4.99</v>
      </c>
      <c r="F23" s="3" t="s">
        <v>14</v>
      </c>
      <c r="G23" s="3" t="s">
        <v>16</v>
      </c>
      <c r="H23" t="s">
        <v>20</v>
      </c>
      <c r="I23">
        <v>201</v>
      </c>
      <c r="J23" t="e" vm="8">
        <v>#VALUE!</v>
      </c>
      <c r="K23" t="e" cm="1" vm="5">
        <f t="array" aca="1" ref="K23" ca="1">_FV(Tabella2[[#This Row],[City]],"Paese/area geografica",TRUE)</f>
        <v>#VALUE!</v>
      </c>
      <c r="L23">
        <f>Tabella2[[#This Row],[Quantity]]*Tabella2[[#This Row],[Price]]</f>
        <v>1002.99</v>
      </c>
      <c r="O23" t="s">
        <v>38</v>
      </c>
      <c r="P23">
        <v>13.380974475434584</v>
      </c>
    </row>
    <row r="24" spans="2:16" x14ac:dyDescent="0.3">
      <c r="B24" s="3">
        <v>10475</v>
      </c>
      <c r="C24" s="4">
        <v>44877</v>
      </c>
      <c r="D24" t="s">
        <v>15</v>
      </c>
      <c r="E24" s="3">
        <v>12.99</v>
      </c>
      <c r="F24" s="3" t="s">
        <v>14</v>
      </c>
      <c r="G24" s="3" t="s">
        <v>16</v>
      </c>
      <c r="H24" t="s">
        <v>20</v>
      </c>
      <c r="I24">
        <v>524</v>
      </c>
      <c r="J24" t="e" vm="8">
        <v>#VALUE!</v>
      </c>
      <c r="K24" t="e" cm="1" vm="5">
        <f t="array" aca="1" ref="K24" ca="1">_FV(Tabella2[[#This Row],[City]],"Paese/area geografica",TRUE)</f>
        <v>#VALUE!</v>
      </c>
      <c r="L24">
        <f>Tabella2[[#This Row],[Quantity]]*Tabella2[[#This Row],[Price]]</f>
        <v>6806.76</v>
      </c>
      <c r="O24" t="s">
        <v>39</v>
      </c>
      <c r="P24">
        <v>539</v>
      </c>
    </row>
    <row r="25" spans="2:16" x14ac:dyDescent="0.3">
      <c r="B25" s="3">
        <v>10476</v>
      </c>
      <c r="C25" s="4">
        <v>44877</v>
      </c>
      <c r="D25" t="s">
        <v>18</v>
      </c>
      <c r="E25" s="3">
        <v>9.9499999999999993</v>
      </c>
      <c r="F25" s="3" t="s">
        <v>14</v>
      </c>
      <c r="G25" s="3" t="s">
        <v>16</v>
      </c>
      <c r="H25" t="s">
        <v>20</v>
      </c>
      <c r="I25">
        <v>202</v>
      </c>
      <c r="J25" t="e" vm="8">
        <v>#VALUE!</v>
      </c>
      <c r="K25" t="e" cm="1" vm="5">
        <f t="array" aca="1" ref="K25" ca="1">_FV(Tabella2[[#This Row],[City]],"Paese/area geografica",TRUE)</f>
        <v>#VALUE!</v>
      </c>
      <c r="L25">
        <f>Tabella2[[#This Row],[Quantity]]*Tabella2[[#This Row],[Price]]</f>
        <v>2009.8999999999999</v>
      </c>
      <c r="O25" t="s">
        <v>40</v>
      </c>
      <c r="P25">
        <v>201</v>
      </c>
    </row>
    <row r="26" spans="2:16" x14ac:dyDescent="0.3">
      <c r="B26" s="3">
        <v>10477</v>
      </c>
      <c r="C26" s="4">
        <v>44877</v>
      </c>
      <c r="D26" t="s">
        <v>9</v>
      </c>
      <c r="E26" s="3">
        <v>3.49</v>
      </c>
      <c r="F26" s="3" t="s">
        <v>14</v>
      </c>
      <c r="G26" s="3" t="s">
        <v>16</v>
      </c>
      <c r="H26" t="s">
        <v>20</v>
      </c>
      <c r="I26">
        <v>631</v>
      </c>
      <c r="J26" t="e" vm="8">
        <v>#VALUE!</v>
      </c>
      <c r="K26" t="e" cm="1" vm="5">
        <f t="array" aca="1" ref="K26" ca="1">_FV(Tabella2[[#This Row],[City]],"Paese/area geografica",TRUE)</f>
        <v>#VALUE!</v>
      </c>
      <c r="L26">
        <f>Tabella2[[#This Row],[Quantity]]*Tabella2[[#This Row],[Price]]</f>
        <v>2202.19</v>
      </c>
      <c r="O26" t="s">
        <v>41</v>
      </c>
      <c r="P26">
        <v>214.5133395000031</v>
      </c>
    </row>
    <row r="27" spans="2:16" x14ac:dyDescent="0.3">
      <c r="B27" s="3">
        <v>10478</v>
      </c>
      <c r="C27" s="4">
        <v>44877</v>
      </c>
      <c r="D27" t="s">
        <v>12</v>
      </c>
      <c r="E27" s="3">
        <v>2.95</v>
      </c>
      <c r="F27" s="3" t="s">
        <v>14</v>
      </c>
      <c r="G27" s="3" t="s">
        <v>16</v>
      </c>
      <c r="H27" t="s">
        <v>20</v>
      </c>
      <c r="I27">
        <v>678</v>
      </c>
      <c r="J27" t="e" vm="8">
        <v>#VALUE!</v>
      </c>
      <c r="K27" t="e" cm="1" vm="5">
        <f t="array" aca="1" ref="K27" ca="1">_FV(Tabella2[[#This Row],[City]],"Paese/area geografica",TRUE)</f>
        <v>#VALUE!</v>
      </c>
      <c r="L27">
        <f>Tabella2[[#This Row],[Quantity]]*Tabella2[[#This Row],[Price]]</f>
        <v>2000.1000000000001</v>
      </c>
      <c r="O27" t="s">
        <v>42</v>
      </c>
      <c r="P27">
        <v>46015.97282344359</v>
      </c>
    </row>
    <row r="28" spans="2:16" x14ac:dyDescent="0.3">
      <c r="B28" s="3">
        <v>10479</v>
      </c>
      <c r="C28" s="4">
        <v>44877</v>
      </c>
      <c r="D28" t="s">
        <v>13</v>
      </c>
      <c r="E28" s="3">
        <v>4.99</v>
      </c>
      <c r="F28" s="3" t="s">
        <v>14</v>
      </c>
      <c r="G28" s="3" t="s">
        <v>16</v>
      </c>
      <c r="H28" t="s">
        <v>20</v>
      </c>
      <c r="I28">
        <v>201</v>
      </c>
      <c r="J28" t="e" vm="8">
        <v>#VALUE!</v>
      </c>
      <c r="K28" t="e" cm="1" vm="5">
        <f t="array" aca="1" ref="K28" ca="1">_FV(Tabella2[[#This Row],[City]],"Paese/area geografica",TRUE)</f>
        <v>#VALUE!</v>
      </c>
      <c r="L28">
        <f>Tabella2[[#This Row],[Quantity]]*Tabella2[[#This Row],[Price]]</f>
        <v>1002.99</v>
      </c>
      <c r="O28" t="s">
        <v>43</v>
      </c>
      <c r="P28">
        <v>-1.7242037395630254</v>
      </c>
    </row>
    <row r="29" spans="2:16" x14ac:dyDescent="0.3">
      <c r="B29" s="3">
        <v>10480</v>
      </c>
      <c r="C29" s="4">
        <v>44878</v>
      </c>
      <c r="D29" t="s">
        <v>15</v>
      </c>
      <c r="E29" s="3">
        <v>12.99</v>
      </c>
      <c r="F29" s="3" t="s">
        <v>14</v>
      </c>
      <c r="G29" s="3" t="s">
        <v>16</v>
      </c>
      <c r="H29" t="s">
        <v>20</v>
      </c>
      <c r="I29">
        <v>509</v>
      </c>
      <c r="J29" t="e" vm="8">
        <v>#VALUE!</v>
      </c>
      <c r="K29" t="e" cm="1" vm="5">
        <f t="array" aca="1" ref="K29" ca="1">_FV(Tabella2[[#This Row],[City]],"Paese/area geografica",TRUE)</f>
        <v>#VALUE!</v>
      </c>
      <c r="L29">
        <f>Tabella2[[#This Row],[Quantity]]*Tabella2[[#This Row],[Price]]</f>
        <v>6611.91</v>
      </c>
      <c r="O29" t="s">
        <v>44</v>
      </c>
      <c r="P29">
        <v>-0.21424989618873261</v>
      </c>
    </row>
    <row r="30" spans="2:16" x14ac:dyDescent="0.3">
      <c r="B30" s="3">
        <v>10481</v>
      </c>
      <c r="C30" s="4">
        <v>44878</v>
      </c>
      <c r="D30" t="s">
        <v>18</v>
      </c>
      <c r="E30" s="3">
        <v>9.9499999999999993</v>
      </c>
      <c r="F30" s="3" t="s">
        <v>14</v>
      </c>
      <c r="G30" s="3" t="s">
        <v>16</v>
      </c>
      <c r="H30" t="s">
        <v>20</v>
      </c>
      <c r="I30">
        <v>202</v>
      </c>
      <c r="J30" t="e" vm="8">
        <v>#VALUE!</v>
      </c>
      <c r="K30" t="e" cm="1" vm="5">
        <f t="array" aca="1" ref="K30" ca="1">_FV(Tabella2[[#This Row],[City]],"Paese/area geografica",TRUE)</f>
        <v>#VALUE!</v>
      </c>
      <c r="L30">
        <f>Tabella2[[#This Row],[Quantity]]*Tabella2[[#This Row],[Price]]</f>
        <v>2009.8999999999999</v>
      </c>
      <c r="O30" t="s">
        <v>45</v>
      </c>
      <c r="P30">
        <v>554</v>
      </c>
    </row>
    <row r="31" spans="2:16" x14ac:dyDescent="0.3">
      <c r="B31" s="3">
        <v>10482</v>
      </c>
      <c r="C31" s="4">
        <v>44878</v>
      </c>
      <c r="D31" t="s">
        <v>9</v>
      </c>
      <c r="E31" s="3">
        <v>25.5</v>
      </c>
      <c r="F31" s="3" t="s">
        <v>14</v>
      </c>
      <c r="G31" s="3" t="s">
        <v>16</v>
      </c>
      <c r="H31" t="s">
        <v>21</v>
      </c>
      <c r="I31">
        <v>631</v>
      </c>
      <c r="J31" t="e" vm="9">
        <v>#VALUE!</v>
      </c>
      <c r="K31" t="e" cm="1" vm="4">
        <f t="array" aca="1" ref="K31" ca="1">_FV(Tabella2[[#This Row],[City]],"Paese/area geografica",TRUE)</f>
        <v>#VALUE!</v>
      </c>
      <c r="L31">
        <f>Tabella2[[#This Row],[Quantity]]*Tabella2[[#This Row],[Price]]</f>
        <v>16090.5</v>
      </c>
      <c r="O31" t="s">
        <v>46</v>
      </c>
      <c r="P31">
        <v>201</v>
      </c>
    </row>
    <row r="32" spans="2:16" x14ac:dyDescent="0.3">
      <c r="B32" s="3">
        <v>10483</v>
      </c>
      <c r="C32" s="4">
        <v>44878</v>
      </c>
      <c r="D32" t="s">
        <v>12</v>
      </c>
      <c r="E32" s="3">
        <v>33.22</v>
      </c>
      <c r="F32" s="3" t="s">
        <v>14</v>
      </c>
      <c r="G32" s="3" t="s">
        <v>16</v>
      </c>
      <c r="H32" t="s">
        <v>21</v>
      </c>
      <c r="I32">
        <v>678</v>
      </c>
      <c r="J32" t="e" vm="9">
        <v>#VALUE!</v>
      </c>
      <c r="K32" t="e" cm="1" vm="4">
        <f t="array" aca="1" ref="K32" ca="1">_FV(Tabella2[[#This Row],[City]],"Paese/area geografica",TRUE)</f>
        <v>#VALUE!</v>
      </c>
      <c r="L32">
        <f>Tabella2[[#This Row],[Quantity]]*Tabella2[[#This Row],[Price]]</f>
        <v>22523.16</v>
      </c>
      <c r="O32" t="s">
        <v>47</v>
      </c>
      <c r="P32">
        <v>755</v>
      </c>
    </row>
    <row r="33" spans="2:16" x14ac:dyDescent="0.3">
      <c r="B33" s="3">
        <v>10484</v>
      </c>
      <c r="C33" s="4">
        <v>44878</v>
      </c>
      <c r="D33" t="s">
        <v>13</v>
      </c>
      <c r="E33" s="3">
        <v>21.44</v>
      </c>
      <c r="F33" s="3" t="s">
        <v>14</v>
      </c>
      <c r="G33" s="3" t="s">
        <v>16</v>
      </c>
      <c r="H33" t="s">
        <v>21</v>
      </c>
      <c r="I33">
        <v>201</v>
      </c>
      <c r="J33" t="e" vm="9">
        <v>#VALUE!</v>
      </c>
      <c r="K33" t="e" cm="1" vm="4">
        <f t="array" aca="1" ref="K33" ca="1">_FV(Tabella2[[#This Row],[City]],"Paese/area geografica",TRUE)</f>
        <v>#VALUE!</v>
      </c>
      <c r="L33">
        <f>Tabella2[[#This Row],[Quantity]]*Tabella2[[#This Row],[Price]]</f>
        <v>4309.4400000000005</v>
      </c>
      <c r="O33" t="s">
        <v>48</v>
      </c>
      <c r="P33">
        <v>118539</v>
      </c>
    </row>
    <row r="34" spans="2:16" ht="16.2" thickBot="1" x14ac:dyDescent="0.35">
      <c r="B34" s="3">
        <v>10485</v>
      </c>
      <c r="C34" s="4">
        <v>44879</v>
      </c>
      <c r="D34" t="s">
        <v>15</v>
      </c>
      <c r="E34" s="3">
        <v>27.99</v>
      </c>
      <c r="F34" s="3" t="s">
        <v>14</v>
      </c>
      <c r="G34" s="3" t="s">
        <v>16</v>
      </c>
      <c r="H34" t="s">
        <v>21</v>
      </c>
      <c r="I34">
        <v>524</v>
      </c>
      <c r="J34" t="e" vm="9">
        <v>#VALUE!</v>
      </c>
      <c r="K34" t="e" cm="1" vm="4">
        <f t="array" aca="1" ref="K34" ca="1">_FV(Tabella2[[#This Row],[City]],"Paese/area geografica",TRUE)</f>
        <v>#VALUE!</v>
      </c>
      <c r="L34">
        <f>Tabella2[[#This Row],[Quantity]]*Tabella2[[#This Row],[Price]]</f>
        <v>14666.759999999998</v>
      </c>
      <c r="O34" s="20" t="s">
        <v>49</v>
      </c>
      <c r="P34" s="20">
        <v>257</v>
      </c>
    </row>
    <row r="35" spans="2:16" x14ac:dyDescent="0.3">
      <c r="B35" s="3">
        <v>10486</v>
      </c>
      <c r="C35" s="4">
        <v>44879</v>
      </c>
      <c r="D35" t="s">
        <v>18</v>
      </c>
      <c r="E35" s="3">
        <v>29.05</v>
      </c>
      <c r="F35" s="3" t="s">
        <v>14</v>
      </c>
      <c r="G35" s="3" t="s">
        <v>16</v>
      </c>
      <c r="H35" t="s">
        <v>21</v>
      </c>
      <c r="I35">
        <v>202</v>
      </c>
      <c r="J35" t="e" vm="9">
        <v>#VALUE!</v>
      </c>
      <c r="K35" t="e" cm="1" vm="4">
        <f t="array" aca="1" ref="K35" ca="1">_FV(Tabella2[[#This Row],[City]],"Paese/area geografica",TRUE)</f>
        <v>#VALUE!</v>
      </c>
      <c r="L35">
        <f>Tabella2[[#This Row],[Quantity]]*Tabella2[[#This Row],[Price]]</f>
        <v>5868.1</v>
      </c>
    </row>
    <row r="36" spans="2:16" x14ac:dyDescent="0.3">
      <c r="B36" s="3">
        <v>10487</v>
      </c>
      <c r="C36" s="4">
        <v>44879</v>
      </c>
      <c r="D36" t="s">
        <v>9</v>
      </c>
      <c r="E36" s="3">
        <v>3.49</v>
      </c>
      <c r="F36" s="3" t="s">
        <v>14</v>
      </c>
      <c r="G36" s="3" t="s">
        <v>16</v>
      </c>
      <c r="H36" t="s">
        <v>21</v>
      </c>
      <c r="I36">
        <v>631</v>
      </c>
      <c r="J36" t="e" vm="9">
        <v>#VALUE!</v>
      </c>
      <c r="K36" t="e" cm="1" vm="4">
        <f t="array" aca="1" ref="K36" ca="1">_FV(Tabella2[[#This Row],[City]],"Paese/area geografica",TRUE)</f>
        <v>#VALUE!</v>
      </c>
      <c r="L36">
        <f>Tabella2[[#This Row],[Quantity]]*Tabella2[[#This Row],[Price]]</f>
        <v>2202.19</v>
      </c>
    </row>
    <row r="37" spans="2:16" x14ac:dyDescent="0.3">
      <c r="B37" s="3">
        <v>10488</v>
      </c>
      <c r="C37" s="4">
        <v>44879</v>
      </c>
      <c r="D37" t="s">
        <v>12</v>
      </c>
      <c r="E37" s="3">
        <v>2.95</v>
      </c>
      <c r="F37" s="3" t="s">
        <v>14</v>
      </c>
      <c r="G37" s="3" t="s">
        <v>16</v>
      </c>
      <c r="H37" t="s">
        <v>21</v>
      </c>
      <c r="I37">
        <v>678</v>
      </c>
      <c r="J37" t="e" vm="9">
        <v>#VALUE!</v>
      </c>
      <c r="K37" t="e" cm="1" vm="4">
        <f t="array" aca="1" ref="K37" ca="1">_FV(Tabella2[[#This Row],[City]],"Paese/area geografica",TRUE)</f>
        <v>#VALUE!</v>
      </c>
      <c r="L37">
        <f>Tabella2[[#This Row],[Quantity]]*Tabella2[[#This Row],[Price]]</f>
        <v>2000.1000000000001</v>
      </c>
    </row>
    <row r="38" spans="2:16" x14ac:dyDescent="0.3">
      <c r="B38" s="3">
        <v>10489</v>
      </c>
      <c r="C38" s="4">
        <v>44879</v>
      </c>
      <c r="D38" t="s">
        <v>13</v>
      </c>
      <c r="E38" s="3">
        <v>4.99</v>
      </c>
      <c r="F38" s="3" t="s">
        <v>14</v>
      </c>
      <c r="G38" s="3" t="s">
        <v>16</v>
      </c>
      <c r="H38" t="s">
        <v>20</v>
      </c>
      <c r="I38">
        <v>201</v>
      </c>
      <c r="J38" t="e" vm="8">
        <v>#VALUE!</v>
      </c>
      <c r="K38" t="e" cm="1" vm="5">
        <f t="array" aca="1" ref="K38" ca="1">_FV(Tabella2[[#This Row],[City]],"Paese/area geografica",TRUE)</f>
        <v>#VALUE!</v>
      </c>
      <c r="L38">
        <f>Tabella2[[#This Row],[Quantity]]*Tabella2[[#This Row],[Price]]</f>
        <v>1002.99</v>
      </c>
      <c r="N38" t="s">
        <v>60</v>
      </c>
      <c r="O38" s="14">
        <f>SUM(Tabella2[Ricavo])</f>
        <v>812135.12999999872</v>
      </c>
    </row>
    <row r="39" spans="2:16" x14ac:dyDescent="0.3">
      <c r="B39" s="3">
        <v>10490</v>
      </c>
      <c r="C39" s="4">
        <v>44880</v>
      </c>
      <c r="D39" t="s">
        <v>15</v>
      </c>
      <c r="E39" s="3">
        <v>12.99</v>
      </c>
      <c r="F39" s="3" t="s">
        <v>14</v>
      </c>
      <c r="G39" s="3" t="s">
        <v>16</v>
      </c>
      <c r="H39" t="s">
        <v>20</v>
      </c>
      <c r="I39">
        <v>509</v>
      </c>
      <c r="J39" t="e" vm="8">
        <v>#VALUE!</v>
      </c>
      <c r="K39" t="e" cm="1" vm="5">
        <f t="array" aca="1" ref="K39" ca="1">_FV(Tabella2[[#This Row],[City]],"Paese/area geografica",TRUE)</f>
        <v>#VALUE!</v>
      </c>
      <c r="L39">
        <f>Tabella2[[#This Row],[Quantity]]*Tabella2[[#This Row],[Price]]</f>
        <v>6611.91</v>
      </c>
    </row>
    <row r="40" spans="2:16" x14ac:dyDescent="0.3">
      <c r="B40" s="3">
        <v>10491</v>
      </c>
      <c r="C40" s="4">
        <v>44880</v>
      </c>
      <c r="D40" t="s">
        <v>18</v>
      </c>
      <c r="E40" s="3">
        <v>9.9499999999999993</v>
      </c>
      <c r="F40" s="3" t="s">
        <v>14</v>
      </c>
      <c r="G40" s="3" t="s">
        <v>16</v>
      </c>
      <c r="H40" t="s">
        <v>20</v>
      </c>
      <c r="I40">
        <v>202</v>
      </c>
      <c r="J40" t="e" vm="8">
        <v>#VALUE!</v>
      </c>
      <c r="K40" t="e" cm="1" vm="5">
        <f t="array" aca="1" ref="K40" ca="1">_FV(Tabella2[[#This Row],[City]],"Paese/area geografica",TRUE)</f>
        <v>#VALUE!</v>
      </c>
      <c r="L40">
        <f>Tabella2[[#This Row],[Quantity]]*Tabella2[[#This Row],[Price]]</f>
        <v>2009.8999999999999</v>
      </c>
    </row>
    <row r="41" spans="2:16" x14ac:dyDescent="0.3">
      <c r="B41" s="3">
        <v>10492</v>
      </c>
      <c r="C41" s="4">
        <v>44880</v>
      </c>
      <c r="D41" t="s">
        <v>9</v>
      </c>
      <c r="E41" s="3">
        <v>3.49</v>
      </c>
      <c r="F41" s="3" t="s">
        <v>14</v>
      </c>
      <c r="G41" s="3" t="s">
        <v>16</v>
      </c>
      <c r="H41" t="s">
        <v>20</v>
      </c>
      <c r="I41">
        <v>574</v>
      </c>
      <c r="J41" t="e" vm="8">
        <v>#VALUE!</v>
      </c>
      <c r="K41" t="e" cm="1" vm="5">
        <f t="array" aca="1" ref="K41" ca="1">_FV(Tabella2[[#This Row],[City]],"Paese/area geografica",TRUE)</f>
        <v>#VALUE!</v>
      </c>
      <c r="L41">
        <f>Tabella2[[#This Row],[Quantity]]*Tabella2[[#This Row],[Price]]</f>
        <v>2003.2600000000002</v>
      </c>
    </row>
    <row r="42" spans="2:16" x14ac:dyDescent="0.3">
      <c r="B42" s="3">
        <v>10493</v>
      </c>
      <c r="C42" s="4">
        <v>44880</v>
      </c>
      <c r="D42" t="s">
        <v>12</v>
      </c>
      <c r="E42" s="3">
        <v>2.95</v>
      </c>
      <c r="F42" s="3" t="s">
        <v>14</v>
      </c>
      <c r="G42" s="3" t="s">
        <v>16</v>
      </c>
      <c r="H42" t="s">
        <v>20</v>
      </c>
      <c r="I42">
        <v>678</v>
      </c>
      <c r="J42" t="e" vm="8">
        <v>#VALUE!</v>
      </c>
      <c r="K42" t="e" cm="1" vm="5">
        <f t="array" aca="1" ref="K42" ca="1">_FV(Tabella2[[#This Row],[City]],"Paese/area geografica",TRUE)</f>
        <v>#VALUE!</v>
      </c>
      <c r="L42">
        <f>Tabella2[[#This Row],[Quantity]]*Tabella2[[#This Row],[Price]]</f>
        <v>2000.1000000000001</v>
      </c>
    </row>
    <row r="43" spans="2:16" x14ac:dyDescent="0.3">
      <c r="B43" s="3">
        <v>10494</v>
      </c>
      <c r="C43" s="4">
        <v>44880</v>
      </c>
      <c r="D43" t="s">
        <v>13</v>
      </c>
      <c r="E43" s="3">
        <v>4.99</v>
      </c>
      <c r="F43" s="3" t="s">
        <v>14</v>
      </c>
      <c r="G43" s="3" t="s">
        <v>16</v>
      </c>
      <c r="H43" t="s">
        <v>20</v>
      </c>
      <c r="I43">
        <v>201</v>
      </c>
      <c r="J43" t="e" vm="8">
        <v>#VALUE!</v>
      </c>
      <c r="K43" t="e" cm="1" vm="5">
        <f t="array" aca="1" ref="K43" ca="1">_FV(Tabella2[[#This Row],[City]],"Paese/area geografica",TRUE)</f>
        <v>#VALUE!</v>
      </c>
      <c r="L43">
        <f>Tabella2[[#This Row],[Quantity]]*Tabella2[[#This Row],[Price]]</f>
        <v>1002.99</v>
      </c>
    </row>
    <row r="44" spans="2:16" x14ac:dyDescent="0.3">
      <c r="B44" s="3">
        <v>10495</v>
      </c>
      <c r="C44" s="4">
        <v>44881</v>
      </c>
      <c r="D44" t="s">
        <v>15</v>
      </c>
      <c r="E44" s="3">
        <v>12.99</v>
      </c>
      <c r="F44" s="3" t="s">
        <v>14</v>
      </c>
      <c r="G44" s="3" t="s">
        <v>16</v>
      </c>
      <c r="H44" t="s">
        <v>20</v>
      </c>
      <c r="I44">
        <v>509</v>
      </c>
      <c r="J44" t="e" vm="8">
        <v>#VALUE!</v>
      </c>
      <c r="K44" t="e" cm="1" vm="5">
        <f t="array" aca="1" ref="K44" ca="1">_FV(Tabella2[[#This Row],[City]],"Paese/area geografica",TRUE)</f>
        <v>#VALUE!</v>
      </c>
      <c r="L44">
        <f>Tabella2[[#This Row],[Quantity]]*Tabella2[[#This Row],[Price]]</f>
        <v>6611.91</v>
      </c>
    </row>
    <row r="45" spans="2:16" x14ac:dyDescent="0.3">
      <c r="B45" s="3">
        <v>10496</v>
      </c>
      <c r="C45" s="4">
        <v>44881</v>
      </c>
      <c r="D45" t="s">
        <v>18</v>
      </c>
      <c r="E45" s="3">
        <v>9.9499999999999993</v>
      </c>
      <c r="F45" s="3" t="s">
        <v>14</v>
      </c>
      <c r="G45" s="3" t="s">
        <v>16</v>
      </c>
      <c r="H45" t="s">
        <v>20</v>
      </c>
      <c r="I45">
        <v>202</v>
      </c>
      <c r="J45" t="e" vm="8">
        <v>#VALUE!</v>
      </c>
      <c r="K45" t="e" cm="1" vm="5">
        <f t="array" aca="1" ref="K45" ca="1">_FV(Tabella2[[#This Row],[City]],"Paese/area geografica",TRUE)</f>
        <v>#VALUE!</v>
      </c>
      <c r="L45">
        <f>Tabella2[[#This Row],[Quantity]]*Tabella2[[#This Row],[Price]]</f>
        <v>2009.8999999999999</v>
      </c>
    </row>
    <row r="46" spans="2:16" x14ac:dyDescent="0.3">
      <c r="B46" s="3">
        <v>10497</v>
      </c>
      <c r="C46" s="4">
        <v>44881</v>
      </c>
      <c r="D46" t="s">
        <v>9</v>
      </c>
      <c r="E46" s="3">
        <v>3.49</v>
      </c>
      <c r="F46" s="3" t="s">
        <v>14</v>
      </c>
      <c r="G46" s="3" t="s">
        <v>16</v>
      </c>
      <c r="H46" t="s">
        <v>20</v>
      </c>
      <c r="I46">
        <v>574</v>
      </c>
      <c r="J46" t="e" vm="8">
        <v>#VALUE!</v>
      </c>
      <c r="K46" t="e" cm="1" vm="5">
        <f t="array" aca="1" ref="K46" ca="1">_FV(Tabella2[[#This Row],[City]],"Paese/area geografica",TRUE)</f>
        <v>#VALUE!</v>
      </c>
      <c r="L46">
        <f>Tabella2[[#This Row],[Quantity]]*Tabella2[[#This Row],[Price]]</f>
        <v>2003.2600000000002</v>
      </c>
    </row>
    <row r="47" spans="2:16" x14ac:dyDescent="0.3">
      <c r="B47" s="3">
        <v>10498</v>
      </c>
      <c r="C47" s="4">
        <v>44881</v>
      </c>
      <c r="D47" t="s">
        <v>12</v>
      </c>
      <c r="E47" s="3">
        <v>2.95</v>
      </c>
      <c r="F47" s="3" t="s">
        <v>22</v>
      </c>
      <c r="G47" s="3" t="s">
        <v>16</v>
      </c>
      <c r="H47" t="s">
        <v>20</v>
      </c>
      <c r="I47">
        <v>678</v>
      </c>
      <c r="J47" t="e" vm="8">
        <v>#VALUE!</v>
      </c>
      <c r="K47" t="e" cm="1" vm="5">
        <f t="array" aca="1" ref="K47" ca="1">_FV(Tabella2[[#This Row],[City]],"Paese/area geografica",TRUE)</f>
        <v>#VALUE!</v>
      </c>
      <c r="L47">
        <f>Tabella2[[#This Row],[Quantity]]*Tabella2[[#This Row],[Price]]</f>
        <v>2000.1000000000001</v>
      </c>
    </row>
    <row r="48" spans="2:16" x14ac:dyDescent="0.3">
      <c r="B48" s="3">
        <v>10499</v>
      </c>
      <c r="C48" s="4">
        <v>44881</v>
      </c>
      <c r="D48" t="s">
        <v>13</v>
      </c>
      <c r="E48" s="3">
        <v>4.99</v>
      </c>
      <c r="F48" s="3" t="s">
        <v>22</v>
      </c>
      <c r="G48" s="3" t="s">
        <v>16</v>
      </c>
      <c r="H48" t="s">
        <v>20</v>
      </c>
      <c r="I48">
        <v>201</v>
      </c>
      <c r="J48" t="e" vm="8">
        <v>#VALUE!</v>
      </c>
      <c r="K48" t="e" cm="1" vm="5">
        <f t="array" aca="1" ref="K48" ca="1">_FV(Tabella2[[#This Row],[City]],"Paese/area geografica",TRUE)</f>
        <v>#VALUE!</v>
      </c>
      <c r="L48">
        <f>Tabella2[[#This Row],[Quantity]]*Tabella2[[#This Row],[Price]]</f>
        <v>1002.99</v>
      </c>
    </row>
    <row r="49" spans="2:12" x14ac:dyDescent="0.3">
      <c r="B49" s="3">
        <v>10500</v>
      </c>
      <c r="C49" s="4">
        <v>44882</v>
      </c>
      <c r="D49" t="s">
        <v>15</v>
      </c>
      <c r="E49" s="3">
        <v>12.99</v>
      </c>
      <c r="F49" s="3" t="s">
        <v>22</v>
      </c>
      <c r="G49" s="3" t="s">
        <v>16</v>
      </c>
      <c r="H49" t="s">
        <v>20</v>
      </c>
      <c r="I49">
        <v>524</v>
      </c>
      <c r="J49" t="e" vm="8">
        <v>#VALUE!</v>
      </c>
      <c r="K49" t="e" cm="1" vm="5">
        <f t="array" aca="1" ref="K49" ca="1">_FV(Tabella2[[#This Row],[City]],"Paese/area geografica",TRUE)</f>
        <v>#VALUE!</v>
      </c>
      <c r="L49">
        <f>Tabella2[[#This Row],[Quantity]]*Tabella2[[#This Row],[Price]]</f>
        <v>6806.76</v>
      </c>
    </row>
    <row r="50" spans="2:12" x14ac:dyDescent="0.3">
      <c r="B50" s="3">
        <v>10501</v>
      </c>
      <c r="C50" s="4">
        <v>44882</v>
      </c>
      <c r="D50" t="s">
        <v>18</v>
      </c>
      <c r="E50" s="3">
        <v>9.9499999999999993</v>
      </c>
      <c r="F50" s="3" t="s">
        <v>22</v>
      </c>
      <c r="G50" s="3" t="s">
        <v>16</v>
      </c>
      <c r="H50" t="s">
        <v>20</v>
      </c>
      <c r="I50">
        <v>202</v>
      </c>
      <c r="J50" t="e" vm="8">
        <v>#VALUE!</v>
      </c>
      <c r="K50" t="e" cm="1" vm="5">
        <f t="array" aca="1" ref="K50" ca="1">_FV(Tabella2[[#This Row],[City]],"Paese/area geografica",TRUE)</f>
        <v>#VALUE!</v>
      </c>
      <c r="L50">
        <f>Tabella2[[#This Row],[Quantity]]*Tabella2[[#This Row],[Price]]</f>
        <v>2009.8999999999999</v>
      </c>
    </row>
    <row r="51" spans="2:12" x14ac:dyDescent="0.3">
      <c r="B51" s="3">
        <v>10502</v>
      </c>
      <c r="C51" s="4">
        <v>44882</v>
      </c>
      <c r="D51" t="s">
        <v>9</v>
      </c>
      <c r="E51" s="3">
        <v>3.49</v>
      </c>
      <c r="F51" s="3" t="s">
        <v>22</v>
      </c>
      <c r="G51" s="3" t="s">
        <v>16</v>
      </c>
      <c r="H51" t="s">
        <v>20</v>
      </c>
      <c r="I51">
        <v>631</v>
      </c>
      <c r="J51" t="e" vm="8">
        <v>#VALUE!</v>
      </c>
      <c r="K51" t="e" cm="1" vm="5">
        <f t="array" aca="1" ref="K51" ca="1">_FV(Tabella2[[#This Row],[City]],"Paese/area geografica",TRUE)</f>
        <v>#VALUE!</v>
      </c>
      <c r="L51">
        <f>Tabella2[[#This Row],[Quantity]]*Tabella2[[#This Row],[Price]]</f>
        <v>2202.19</v>
      </c>
    </row>
    <row r="52" spans="2:12" x14ac:dyDescent="0.3">
      <c r="B52" s="3">
        <v>10503</v>
      </c>
      <c r="C52" s="4">
        <v>44882</v>
      </c>
      <c r="D52" t="s">
        <v>12</v>
      </c>
      <c r="E52" s="3">
        <v>2.95</v>
      </c>
      <c r="F52" s="3" t="s">
        <v>22</v>
      </c>
      <c r="G52" s="3" t="s">
        <v>16</v>
      </c>
      <c r="H52" t="s">
        <v>20</v>
      </c>
      <c r="I52">
        <v>678</v>
      </c>
      <c r="J52" t="e" vm="8">
        <v>#VALUE!</v>
      </c>
      <c r="K52" t="e" cm="1" vm="5">
        <f t="array" aca="1" ref="K52" ca="1">_FV(Tabella2[[#This Row],[City]],"Paese/area geografica",TRUE)</f>
        <v>#VALUE!</v>
      </c>
      <c r="L52">
        <f>Tabella2[[#This Row],[Quantity]]*Tabella2[[#This Row],[Price]]</f>
        <v>2000.1000000000001</v>
      </c>
    </row>
    <row r="53" spans="2:12" x14ac:dyDescent="0.3">
      <c r="B53" s="3">
        <v>10504</v>
      </c>
      <c r="C53" s="4">
        <v>44882</v>
      </c>
      <c r="D53" t="s">
        <v>13</v>
      </c>
      <c r="E53" s="3">
        <v>4.99</v>
      </c>
      <c r="F53" s="3" t="s">
        <v>22</v>
      </c>
      <c r="G53" s="3" t="s">
        <v>16</v>
      </c>
      <c r="H53" t="s">
        <v>20</v>
      </c>
      <c r="I53">
        <v>201</v>
      </c>
      <c r="J53" t="e" vm="8">
        <v>#VALUE!</v>
      </c>
      <c r="K53" t="e" cm="1" vm="5">
        <f t="array" aca="1" ref="K53" ca="1">_FV(Tabella2[[#This Row],[City]],"Paese/area geografica",TRUE)</f>
        <v>#VALUE!</v>
      </c>
      <c r="L53">
        <f>Tabella2[[#This Row],[Quantity]]*Tabella2[[#This Row],[Price]]</f>
        <v>1002.99</v>
      </c>
    </row>
    <row r="54" spans="2:12" x14ac:dyDescent="0.3">
      <c r="B54" s="3">
        <v>10505</v>
      </c>
      <c r="C54" s="4">
        <v>44883</v>
      </c>
      <c r="D54" t="s">
        <v>15</v>
      </c>
      <c r="E54" s="3">
        <v>12.99</v>
      </c>
      <c r="F54" s="3" t="s">
        <v>22</v>
      </c>
      <c r="G54" s="3" t="s">
        <v>16</v>
      </c>
      <c r="H54" t="s">
        <v>20</v>
      </c>
      <c r="I54">
        <v>539</v>
      </c>
      <c r="J54" t="e" vm="8">
        <v>#VALUE!</v>
      </c>
      <c r="K54" t="e" cm="1" vm="5">
        <f t="array" aca="1" ref="K54" ca="1">_FV(Tabella2[[#This Row],[City]],"Paese/area geografica",TRUE)</f>
        <v>#VALUE!</v>
      </c>
      <c r="L54">
        <f>Tabella2[[#This Row],[Quantity]]*Tabella2[[#This Row],[Price]]</f>
        <v>7001.61</v>
      </c>
    </row>
    <row r="55" spans="2:12" x14ac:dyDescent="0.3">
      <c r="B55" s="3">
        <v>10506</v>
      </c>
      <c r="C55" s="4">
        <v>44883</v>
      </c>
      <c r="D55" t="s">
        <v>18</v>
      </c>
      <c r="E55" s="3">
        <v>9.9499999999999993</v>
      </c>
      <c r="F55" s="3" t="s">
        <v>22</v>
      </c>
      <c r="G55" s="3" t="s">
        <v>16</v>
      </c>
      <c r="H55" t="s">
        <v>20</v>
      </c>
      <c r="I55">
        <v>202</v>
      </c>
      <c r="J55" t="e" vm="8">
        <v>#VALUE!</v>
      </c>
      <c r="K55" t="e" cm="1" vm="5">
        <f t="array" aca="1" ref="K55" ca="1">_FV(Tabella2[[#This Row],[City]],"Paese/area geografica",TRUE)</f>
        <v>#VALUE!</v>
      </c>
      <c r="L55">
        <f>Tabella2[[#This Row],[Quantity]]*Tabella2[[#This Row],[Price]]</f>
        <v>2009.8999999999999</v>
      </c>
    </row>
    <row r="56" spans="2:12" x14ac:dyDescent="0.3">
      <c r="B56" s="3">
        <v>10507</v>
      </c>
      <c r="C56" s="4">
        <v>44883</v>
      </c>
      <c r="D56" t="s">
        <v>9</v>
      </c>
      <c r="E56" s="3">
        <v>3.49</v>
      </c>
      <c r="F56" s="3" t="s">
        <v>22</v>
      </c>
      <c r="G56" s="3" t="s">
        <v>16</v>
      </c>
      <c r="H56" t="s">
        <v>20</v>
      </c>
      <c r="I56">
        <v>688</v>
      </c>
      <c r="J56" t="e" vm="8">
        <v>#VALUE!</v>
      </c>
      <c r="K56" t="e" cm="1" vm="5">
        <f t="array" aca="1" ref="K56" ca="1">_FV(Tabella2[[#This Row],[City]],"Paese/area geografica",TRUE)</f>
        <v>#VALUE!</v>
      </c>
      <c r="L56">
        <f>Tabella2[[#This Row],[Quantity]]*Tabella2[[#This Row],[Price]]</f>
        <v>2401.1200000000003</v>
      </c>
    </row>
    <row r="57" spans="2:12" x14ac:dyDescent="0.3">
      <c r="B57" s="3">
        <v>10508</v>
      </c>
      <c r="C57" s="4">
        <v>44883</v>
      </c>
      <c r="D57" t="s">
        <v>12</v>
      </c>
      <c r="E57" s="3">
        <v>2.95</v>
      </c>
      <c r="F57" s="3" t="s">
        <v>22</v>
      </c>
      <c r="G57" s="3" t="s">
        <v>16</v>
      </c>
      <c r="H57" t="s">
        <v>20</v>
      </c>
      <c r="I57">
        <v>678</v>
      </c>
      <c r="J57" t="e" vm="8">
        <v>#VALUE!</v>
      </c>
      <c r="K57" t="e" cm="1" vm="5">
        <f t="array" aca="1" ref="K57" ca="1">_FV(Tabella2[[#This Row],[City]],"Paese/area geografica",TRUE)</f>
        <v>#VALUE!</v>
      </c>
      <c r="L57">
        <f>Tabella2[[#This Row],[Quantity]]*Tabella2[[#This Row],[Price]]</f>
        <v>2000.1000000000001</v>
      </c>
    </row>
    <row r="58" spans="2:12" x14ac:dyDescent="0.3">
      <c r="B58" s="3">
        <v>10509</v>
      </c>
      <c r="C58" s="4">
        <v>44883</v>
      </c>
      <c r="D58" t="s">
        <v>13</v>
      </c>
      <c r="E58" s="3">
        <v>4.99</v>
      </c>
      <c r="F58" s="3" t="s">
        <v>22</v>
      </c>
      <c r="G58" s="3" t="s">
        <v>16</v>
      </c>
      <c r="H58" t="s">
        <v>20</v>
      </c>
      <c r="I58">
        <v>201</v>
      </c>
      <c r="J58" t="e" vm="8">
        <v>#VALUE!</v>
      </c>
      <c r="K58" t="e" cm="1" vm="5">
        <f t="array" aca="1" ref="K58" ca="1">_FV(Tabella2[[#This Row],[City]],"Paese/area geografica",TRUE)</f>
        <v>#VALUE!</v>
      </c>
      <c r="L58">
        <f>Tabella2[[#This Row],[Quantity]]*Tabella2[[#This Row],[Price]]</f>
        <v>1002.99</v>
      </c>
    </row>
    <row r="59" spans="2:12" x14ac:dyDescent="0.3">
      <c r="B59" s="3">
        <v>10510</v>
      </c>
      <c r="C59" s="4">
        <v>44884</v>
      </c>
      <c r="D59" t="s">
        <v>15</v>
      </c>
      <c r="E59" s="3">
        <v>12.99</v>
      </c>
      <c r="F59" s="3" t="s">
        <v>22</v>
      </c>
      <c r="G59" s="3" t="s">
        <v>16</v>
      </c>
      <c r="H59" t="s">
        <v>20</v>
      </c>
      <c r="I59">
        <v>509</v>
      </c>
      <c r="J59" t="e" vm="8">
        <v>#VALUE!</v>
      </c>
      <c r="K59" t="e" cm="1" vm="5">
        <f t="array" aca="1" ref="K59" ca="1">_FV(Tabella2[[#This Row],[City]],"Paese/area geografica",TRUE)</f>
        <v>#VALUE!</v>
      </c>
      <c r="L59">
        <f>Tabella2[[#This Row],[Quantity]]*Tabella2[[#This Row],[Price]]</f>
        <v>6611.91</v>
      </c>
    </row>
    <row r="60" spans="2:12" x14ac:dyDescent="0.3">
      <c r="B60" s="3">
        <v>10511</v>
      </c>
      <c r="C60" s="4">
        <v>44884</v>
      </c>
      <c r="D60" t="s">
        <v>18</v>
      </c>
      <c r="E60" s="3">
        <v>9.9499999999999993</v>
      </c>
      <c r="F60" s="3" t="s">
        <v>22</v>
      </c>
      <c r="G60" s="3" t="s">
        <v>16</v>
      </c>
      <c r="H60" t="s">
        <v>21</v>
      </c>
      <c r="I60">
        <v>202</v>
      </c>
      <c r="J60" t="e" vm="9">
        <v>#VALUE!</v>
      </c>
      <c r="K60" t="e" cm="1" vm="4">
        <f t="array" aca="1" ref="K60" ca="1">_FV(Tabella2[[#This Row],[City]],"Paese/area geografica",TRUE)</f>
        <v>#VALUE!</v>
      </c>
      <c r="L60">
        <f>Tabella2[[#This Row],[Quantity]]*Tabella2[[#This Row],[Price]]</f>
        <v>2009.8999999999999</v>
      </c>
    </row>
    <row r="61" spans="2:12" x14ac:dyDescent="0.3">
      <c r="B61" s="3">
        <v>10512</v>
      </c>
      <c r="C61" s="4">
        <v>44884</v>
      </c>
      <c r="D61" t="s">
        <v>9</v>
      </c>
      <c r="E61" s="3">
        <v>3.49</v>
      </c>
      <c r="F61" s="3" t="s">
        <v>22</v>
      </c>
      <c r="G61" s="3" t="s">
        <v>16</v>
      </c>
      <c r="H61" t="s">
        <v>21</v>
      </c>
      <c r="I61">
        <v>688</v>
      </c>
      <c r="J61" t="e" vm="9">
        <v>#VALUE!</v>
      </c>
      <c r="K61" t="e" cm="1" vm="4">
        <f t="array" aca="1" ref="K61" ca="1">_FV(Tabella2[[#This Row],[City]],"Paese/area geografica",TRUE)</f>
        <v>#VALUE!</v>
      </c>
      <c r="L61">
        <f>Tabella2[[#This Row],[Quantity]]*Tabella2[[#This Row],[Price]]</f>
        <v>2401.1200000000003</v>
      </c>
    </row>
    <row r="62" spans="2:12" x14ac:dyDescent="0.3">
      <c r="B62" s="3">
        <v>10513</v>
      </c>
      <c r="C62" s="4">
        <v>44884</v>
      </c>
      <c r="D62" t="s">
        <v>12</v>
      </c>
      <c r="E62" s="3">
        <v>2.95</v>
      </c>
      <c r="F62" s="3" t="s">
        <v>22</v>
      </c>
      <c r="G62" s="3" t="s">
        <v>23</v>
      </c>
      <c r="H62" t="s">
        <v>21</v>
      </c>
      <c r="I62">
        <v>678</v>
      </c>
      <c r="J62" t="e" vm="9">
        <v>#VALUE!</v>
      </c>
      <c r="K62" t="e" cm="1" vm="4">
        <f t="array" aca="1" ref="K62" ca="1">_FV(Tabella2[[#This Row],[City]],"Paese/area geografica",TRUE)</f>
        <v>#VALUE!</v>
      </c>
      <c r="L62">
        <f>Tabella2[[#This Row],[Quantity]]*Tabella2[[#This Row],[Price]]</f>
        <v>2000.1000000000001</v>
      </c>
    </row>
    <row r="63" spans="2:12" x14ac:dyDescent="0.3">
      <c r="B63" s="3">
        <v>10514</v>
      </c>
      <c r="C63" s="4">
        <v>44884</v>
      </c>
      <c r="D63" t="s">
        <v>13</v>
      </c>
      <c r="E63" s="3">
        <v>4.99</v>
      </c>
      <c r="F63" s="3" t="s">
        <v>22</v>
      </c>
      <c r="G63" s="3" t="s">
        <v>23</v>
      </c>
      <c r="H63" t="s">
        <v>21</v>
      </c>
      <c r="I63">
        <v>201</v>
      </c>
      <c r="J63" t="e" vm="9">
        <v>#VALUE!</v>
      </c>
      <c r="K63" t="e" cm="1" vm="4">
        <f t="array" aca="1" ref="K63" ca="1">_FV(Tabella2[[#This Row],[City]],"Paese/area geografica",TRUE)</f>
        <v>#VALUE!</v>
      </c>
      <c r="L63">
        <f>Tabella2[[#This Row],[Quantity]]*Tabella2[[#This Row],[Price]]</f>
        <v>1002.99</v>
      </c>
    </row>
    <row r="64" spans="2:12" x14ac:dyDescent="0.3">
      <c r="B64" s="3">
        <v>10515</v>
      </c>
      <c r="C64" s="4">
        <v>44885</v>
      </c>
      <c r="D64" t="s">
        <v>15</v>
      </c>
      <c r="E64" s="3">
        <v>12.99</v>
      </c>
      <c r="F64" s="3" t="s">
        <v>22</v>
      </c>
      <c r="G64" s="3" t="s">
        <v>23</v>
      </c>
      <c r="H64" t="s">
        <v>21</v>
      </c>
      <c r="I64">
        <v>478</v>
      </c>
      <c r="J64" t="e" vm="9">
        <v>#VALUE!</v>
      </c>
      <c r="K64" t="e" cm="1" vm="4">
        <f t="array" aca="1" ref="K64" ca="1">_FV(Tabella2[[#This Row],[City]],"Paese/area geografica",TRUE)</f>
        <v>#VALUE!</v>
      </c>
      <c r="L64">
        <f>Tabella2[[#This Row],[Quantity]]*Tabella2[[#This Row],[Price]]</f>
        <v>6209.22</v>
      </c>
    </row>
    <row r="65" spans="2:12" x14ac:dyDescent="0.3">
      <c r="B65" s="3">
        <v>10516</v>
      </c>
      <c r="C65" s="4">
        <v>44885</v>
      </c>
      <c r="D65" t="s">
        <v>18</v>
      </c>
      <c r="E65" s="3">
        <v>9.9499999999999993</v>
      </c>
      <c r="F65" s="3" t="s">
        <v>22</v>
      </c>
      <c r="G65" s="3" t="s">
        <v>23</v>
      </c>
      <c r="H65" t="s">
        <v>21</v>
      </c>
      <c r="I65">
        <v>202</v>
      </c>
      <c r="J65" t="e" vm="9">
        <v>#VALUE!</v>
      </c>
      <c r="K65" t="e" cm="1" vm="4">
        <f t="array" aca="1" ref="K65" ca="1">_FV(Tabella2[[#This Row],[City]],"Paese/area geografica",TRUE)</f>
        <v>#VALUE!</v>
      </c>
      <c r="L65">
        <f>Tabella2[[#This Row],[Quantity]]*Tabella2[[#This Row],[Price]]</f>
        <v>2009.8999999999999</v>
      </c>
    </row>
    <row r="66" spans="2:12" x14ac:dyDescent="0.3">
      <c r="B66" s="3">
        <v>10483</v>
      </c>
      <c r="C66" s="4">
        <v>44878</v>
      </c>
      <c r="D66" t="s">
        <v>12</v>
      </c>
      <c r="E66" s="3">
        <v>2.95</v>
      </c>
      <c r="F66" s="3" t="s">
        <v>14</v>
      </c>
      <c r="G66" s="3" t="s">
        <v>16</v>
      </c>
      <c r="H66" t="s">
        <v>21</v>
      </c>
      <c r="I66">
        <v>678</v>
      </c>
      <c r="J66" t="e" vm="9">
        <v>#VALUE!</v>
      </c>
      <c r="K66" t="e" cm="1" vm="4">
        <f t="array" aca="1" ref="K66" ca="1">_FV(Tabella2[[#This Row],[City]],"Paese/area geografica",TRUE)</f>
        <v>#VALUE!</v>
      </c>
      <c r="L66">
        <f>Tabella2[[#This Row],[Quantity]]*Tabella2[[#This Row],[Price]]</f>
        <v>2000.1000000000001</v>
      </c>
    </row>
    <row r="67" spans="2:12" x14ac:dyDescent="0.3">
      <c r="B67" s="3">
        <v>10484</v>
      </c>
      <c r="C67" s="4">
        <v>44878</v>
      </c>
      <c r="D67" t="s">
        <v>13</v>
      </c>
      <c r="E67" s="3">
        <v>4.99</v>
      </c>
      <c r="F67" s="3" t="s">
        <v>14</v>
      </c>
      <c r="G67" s="3" t="s">
        <v>16</v>
      </c>
      <c r="H67" t="s">
        <v>21</v>
      </c>
      <c r="I67">
        <v>201</v>
      </c>
      <c r="J67" t="e" vm="9">
        <v>#VALUE!</v>
      </c>
      <c r="K67" t="e" cm="1" vm="4">
        <f t="array" aca="1" ref="K67" ca="1">_FV(Tabella2[[#This Row],[City]],"Paese/area geografica",TRUE)</f>
        <v>#VALUE!</v>
      </c>
      <c r="L67">
        <f>Tabella2[[#This Row],[Quantity]]*Tabella2[[#This Row],[Price]]</f>
        <v>1002.99</v>
      </c>
    </row>
    <row r="68" spans="2:12" x14ac:dyDescent="0.3">
      <c r="B68" s="3">
        <v>10485</v>
      </c>
      <c r="C68" s="4">
        <v>44879</v>
      </c>
      <c r="D68" t="s">
        <v>15</v>
      </c>
      <c r="E68" s="3">
        <v>12.99</v>
      </c>
      <c r="F68" s="3" t="s">
        <v>14</v>
      </c>
      <c r="G68" s="3" t="s">
        <v>16</v>
      </c>
      <c r="H68" t="s">
        <v>21</v>
      </c>
      <c r="I68">
        <v>524</v>
      </c>
      <c r="J68" t="e" vm="9">
        <v>#VALUE!</v>
      </c>
      <c r="K68" t="e" cm="1" vm="4">
        <f t="array" aca="1" ref="K68" ca="1">_FV(Tabella2[[#This Row],[City]],"Paese/area geografica",TRUE)</f>
        <v>#VALUE!</v>
      </c>
      <c r="L68">
        <f>Tabella2[[#This Row],[Quantity]]*Tabella2[[#This Row],[Price]]</f>
        <v>6806.76</v>
      </c>
    </row>
    <row r="69" spans="2:12" x14ac:dyDescent="0.3">
      <c r="B69" s="3">
        <v>10520</v>
      </c>
      <c r="C69" s="4">
        <v>44886</v>
      </c>
      <c r="D69" t="s">
        <v>15</v>
      </c>
      <c r="E69" s="3">
        <v>12.99</v>
      </c>
      <c r="F69" s="3" t="s">
        <v>22</v>
      </c>
      <c r="G69" s="3" t="s">
        <v>23</v>
      </c>
      <c r="H69" t="s">
        <v>19</v>
      </c>
      <c r="I69">
        <v>493</v>
      </c>
      <c r="J69" t="e" vm="6">
        <v>#VALUE!</v>
      </c>
      <c r="K69" t="e" cm="1" vm="1">
        <f t="array" aca="1" ref="K69" ca="1">_FV(Tabella2[[#This Row],[City]],"Paese/area geografica",TRUE)</f>
        <v>#VALUE!</v>
      </c>
      <c r="L69">
        <f>Tabella2[[#This Row],[Quantity]]*Tabella2[[#This Row],[Price]]</f>
        <v>6404.07</v>
      </c>
    </row>
    <row r="70" spans="2:12" x14ac:dyDescent="0.3">
      <c r="B70" s="3">
        <v>10521</v>
      </c>
      <c r="C70" s="4">
        <v>44886</v>
      </c>
      <c r="D70" t="s">
        <v>18</v>
      </c>
      <c r="E70" s="3">
        <v>9.9499999999999993</v>
      </c>
      <c r="F70" s="3" t="s">
        <v>22</v>
      </c>
      <c r="G70" s="3" t="s">
        <v>23</v>
      </c>
      <c r="H70" t="s">
        <v>19</v>
      </c>
      <c r="I70">
        <v>202</v>
      </c>
      <c r="J70" t="e" vm="6">
        <v>#VALUE!</v>
      </c>
      <c r="K70" t="e" cm="1" vm="1">
        <f t="array" aca="1" ref="K70" ca="1">_FV(Tabella2[[#This Row],[City]],"Paese/area geografica",TRUE)</f>
        <v>#VALUE!</v>
      </c>
      <c r="L70">
        <f>Tabella2[[#This Row],[Quantity]]*Tabella2[[#This Row],[Price]]</f>
        <v>2009.8999999999999</v>
      </c>
    </row>
    <row r="71" spans="2:12" x14ac:dyDescent="0.3">
      <c r="B71" s="3">
        <v>10522</v>
      </c>
      <c r="C71" s="4">
        <v>44886</v>
      </c>
      <c r="D71" t="s">
        <v>9</v>
      </c>
      <c r="E71" s="3">
        <v>3.49</v>
      </c>
      <c r="F71" s="3" t="s">
        <v>22</v>
      </c>
      <c r="G71" s="3" t="s">
        <v>23</v>
      </c>
      <c r="H71" t="s">
        <v>19</v>
      </c>
      <c r="I71">
        <v>688</v>
      </c>
      <c r="J71" t="e" vm="6">
        <v>#VALUE!</v>
      </c>
      <c r="K71" t="e" cm="1" vm="1">
        <f t="array" aca="1" ref="K71" ca="1">_FV(Tabella2[[#This Row],[City]],"Paese/area geografica",TRUE)</f>
        <v>#VALUE!</v>
      </c>
      <c r="L71">
        <f>Tabella2[[#This Row],[Quantity]]*Tabella2[[#This Row],[Price]]</f>
        <v>2401.1200000000003</v>
      </c>
    </row>
    <row r="72" spans="2:12" x14ac:dyDescent="0.3">
      <c r="B72" s="3">
        <v>10523</v>
      </c>
      <c r="C72" s="4">
        <v>44886</v>
      </c>
      <c r="D72" t="s">
        <v>12</v>
      </c>
      <c r="E72" s="3">
        <v>2.95</v>
      </c>
      <c r="F72" s="3" t="s">
        <v>22</v>
      </c>
      <c r="G72" s="3" t="s">
        <v>23</v>
      </c>
      <c r="H72" t="s">
        <v>19</v>
      </c>
      <c r="I72">
        <v>746</v>
      </c>
      <c r="J72" t="e" vm="6">
        <v>#VALUE!</v>
      </c>
      <c r="K72" t="e" cm="1" vm="1">
        <f t="array" aca="1" ref="K72" ca="1">_FV(Tabella2[[#This Row],[City]],"Paese/area geografica",TRUE)</f>
        <v>#VALUE!</v>
      </c>
      <c r="L72">
        <f>Tabella2[[#This Row],[Quantity]]*Tabella2[[#This Row],[Price]]</f>
        <v>2200.7000000000003</v>
      </c>
    </row>
    <row r="73" spans="2:12" x14ac:dyDescent="0.3">
      <c r="B73" s="3">
        <v>10524</v>
      </c>
      <c r="C73" s="4">
        <v>44886</v>
      </c>
      <c r="D73" t="s">
        <v>13</v>
      </c>
      <c r="E73" s="3">
        <v>4.99</v>
      </c>
      <c r="F73" s="3" t="s">
        <v>22</v>
      </c>
      <c r="G73" s="3" t="s">
        <v>23</v>
      </c>
      <c r="H73" t="s">
        <v>19</v>
      </c>
      <c r="I73">
        <v>201</v>
      </c>
      <c r="J73" t="e" vm="6">
        <v>#VALUE!</v>
      </c>
      <c r="K73" t="e" cm="1" vm="1">
        <f t="array" aca="1" ref="K73" ca="1">_FV(Tabella2[[#This Row],[City]],"Paese/area geografica",TRUE)</f>
        <v>#VALUE!</v>
      </c>
      <c r="L73">
        <f>Tabella2[[#This Row],[Quantity]]*Tabella2[[#This Row],[Price]]</f>
        <v>1002.99</v>
      </c>
    </row>
    <row r="74" spans="2:12" x14ac:dyDescent="0.3">
      <c r="B74" s="3">
        <v>10525</v>
      </c>
      <c r="C74" s="4">
        <v>44887</v>
      </c>
      <c r="D74" t="s">
        <v>15</v>
      </c>
      <c r="E74" s="3">
        <v>12.99</v>
      </c>
      <c r="F74" s="3" t="s">
        <v>22</v>
      </c>
      <c r="G74" s="3" t="s">
        <v>23</v>
      </c>
      <c r="H74" t="s">
        <v>19</v>
      </c>
      <c r="I74">
        <v>462</v>
      </c>
      <c r="J74" t="e" vm="6">
        <v>#VALUE!</v>
      </c>
      <c r="K74" t="e" cm="1" vm="1">
        <f t="array" aca="1" ref="K74" ca="1">_FV(Tabella2[[#This Row],[City]],"Paese/area geografica",TRUE)</f>
        <v>#VALUE!</v>
      </c>
      <c r="L74">
        <f>Tabella2[[#This Row],[Quantity]]*Tabella2[[#This Row],[Price]]</f>
        <v>6001.38</v>
      </c>
    </row>
    <row r="75" spans="2:12" x14ac:dyDescent="0.3">
      <c r="B75" s="3">
        <v>10526</v>
      </c>
      <c r="C75" s="4">
        <v>44887</v>
      </c>
      <c r="D75" t="s">
        <v>18</v>
      </c>
      <c r="E75" s="3">
        <v>9.9499999999999993</v>
      </c>
      <c r="F75" s="3" t="s">
        <v>22</v>
      </c>
      <c r="G75" s="3" t="s">
        <v>23</v>
      </c>
      <c r="H75" t="s">
        <v>19</v>
      </c>
      <c r="I75">
        <v>202</v>
      </c>
      <c r="J75" t="e" vm="6">
        <v>#VALUE!</v>
      </c>
      <c r="K75" t="e" cm="1" vm="1">
        <f t="array" aca="1" ref="K75" ca="1">_FV(Tabella2[[#This Row],[City]],"Paese/area geografica",TRUE)</f>
        <v>#VALUE!</v>
      </c>
      <c r="L75">
        <f>Tabella2[[#This Row],[Quantity]]*Tabella2[[#This Row],[Price]]</f>
        <v>2009.8999999999999</v>
      </c>
    </row>
    <row r="76" spans="2:12" x14ac:dyDescent="0.3">
      <c r="B76" s="3">
        <v>10527</v>
      </c>
      <c r="C76" s="4">
        <v>44887</v>
      </c>
      <c r="D76" t="s">
        <v>9</v>
      </c>
      <c r="E76" s="3">
        <v>3.49</v>
      </c>
      <c r="F76" s="3" t="s">
        <v>22</v>
      </c>
      <c r="G76" s="3" t="s">
        <v>23</v>
      </c>
      <c r="H76" t="s">
        <v>19</v>
      </c>
      <c r="I76">
        <v>688</v>
      </c>
      <c r="J76" t="e" vm="6">
        <v>#VALUE!</v>
      </c>
      <c r="K76" t="e" cm="1" vm="1">
        <f t="array" aca="1" ref="K76" ca="1">_FV(Tabella2[[#This Row],[City]],"Paese/area geografica",TRUE)</f>
        <v>#VALUE!</v>
      </c>
      <c r="L76">
        <f>Tabella2[[#This Row],[Quantity]]*Tabella2[[#This Row],[Price]]</f>
        <v>2401.1200000000003</v>
      </c>
    </row>
    <row r="77" spans="2:12" x14ac:dyDescent="0.3">
      <c r="B77" s="3">
        <v>10528</v>
      </c>
      <c r="C77" s="4">
        <v>44887</v>
      </c>
      <c r="D77" t="s">
        <v>12</v>
      </c>
      <c r="E77" s="3">
        <v>2.95</v>
      </c>
      <c r="F77" s="3" t="s">
        <v>22</v>
      </c>
      <c r="G77" s="3" t="s">
        <v>23</v>
      </c>
      <c r="H77" t="s">
        <v>19</v>
      </c>
      <c r="I77">
        <v>746</v>
      </c>
      <c r="J77" t="e" vm="6">
        <v>#VALUE!</v>
      </c>
      <c r="K77" t="e" cm="1" vm="1">
        <f t="array" aca="1" ref="K77" ca="1">_FV(Tabella2[[#This Row],[City]],"Paese/area geografica",TRUE)</f>
        <v>#VALUE!</v>
      </c>
      <c r="L77">
        <f>Tabella2[[#This Row],[Quantity]]*Tabella2[[#This Row],[Price]]</f>
        <v>2200.7000000000003</v>
      </c>
    </row>
    <row r="78" spans="2:12" x14ac:dyDescent="0.3">
      <c r="B78" s="3">
        <v>10529</v>
      </c>
      <c r="C78" s="4">
        <v>44887</v>
      </c>
      <c r="D78" t="s">
        <v>13</v>
      </c>
      <c r="E78" s="3">
        <v>4.99</v>
      </c>
      <c r="F78" s="3" t="s">
        <v>22</v>
      </c>
      <c r="G78" s="3" t="s">
        <v>23</v>
      </c>
      <c r="H78" t="s">
        <v>19</v>
      </c>
      <c r="I78">
        <v>201</v>
      </c>
      <c r="J78" t="e" vm="6">
        <v>#VALUE!</v>
      </c>
      <c r="K78" t="e" cm="1" vm="1">
        <f t="array" aca="1" ref="K78" ca="1">_FV(Tabella2[[#This Row],[City]],"Paese/area geografica",TRUE)</f>
        <v>#VALUE!</v>
      </c>
      <c r="L78">
        <f>Tabella2[[#This Row],[Quantity]]*Tabella2[[#This Row],[Price]]</f>
        <v>1002.99</v>
      </c>
    </row>
    <row r="79" spans="2:12" x14ac:dyDescent="0.3">
      <c r="B79" s="3">
        <v>10530</v>
      </c>
      <c r="C79" s="4">
        <v>44888</v>
      </c>
      <c r="D79" t="s">
        <v>15</v>
      </c>
      <c r="E79" s="3">
        <v>12.99</v>
      </c>
      <c r="F79" s="3" t="s">
        <v>22</v>
      </c>
      <c r="G79" s="3" t="s">
        <v>23</v>
      </c>
      <c r="H79" t="s">
        <v>19</v>
      </c>
      <c r="I79">
        <v>478</v>
      </c>
      <c r="J79" t="e" vm="6">
        <v>#VALUE!</v>
      </c>
      <c r="K79" t="e" cm="1" vm="1">
        <f t="array" aca="1" ref="K79" ca="1">_FV(Tabella2[[#This Row],[City]],"Paese/area geografica",TRUE)</f>
        <v>#VALUE!</v>
      </c>
      <c r="L79">
        <f>Tabella2[[#This Row],[Quantity]]*Tabella2[[#This Row],[Price]]</f>
        <v>6209.22</v>
      </c>
    </row>
    <row r="80" spans="2:12" x14ac:dyDescent="0.3">
      <c r="B80" s="3">
        <v>10531</v>
      </c>
      <c r="C80" s="4">
        <v>44888</v>
      </c>
      <c r="D80" t="s">
        <v>18</v>
      </c>
      <c r="E80" s="3">
        <v>9.9499999999999993</v>
      </c>
      <c r="F80" s="3" t="s">
        <v>22</v>
      </c>
      <c r="G80" s="3" t="s">
        <v>23</v>
      </c>
      <c r="H80" t="s">
        <v>19</v>
      </c>
      <c r="I80">
        <v>202</v>
      </c>
      <c r="J80" t="e" vm="6">
        <v>#VALUE!</v>
      </c>
      <c r="K80" t="e" cm="1" vm="1">
        <f t="array" aca="1" ref="K80" ca="1">_FV(Tabella2[[#This Row],[City]],"Paese/area geografica",TRUE)</f>
        <v>#VALUE!</v>
      </c>
      <c r="L80">
        <f>Tabella2[[#This Row],[Quantity]]*Tabella2[[#This Row],[Price]]</f>
        <v>2009.8999999999999</v>
      </c>
    </row>
    <row r="81" spans="2:12" x14ac:dyDescent="0.3">
      <c r="B81" s="3">
        <v>10532</v>
      </c>
      <c r="C81" s="4">
        <v>44888</v>
      </c>
      <c r="D81" t="s">
        <v>9</v>
      </c>
      <c r="E81" s="3">
        <v>3.49</v>
      </c>
      <c r="F81" s="3" t="s">
        <v>22</v>
      </c>
      <c r="G81" s="3" t="s">
        <v>23</v>
      </c>
      <c r="H81" t="s">
        <v>21</v>
      </c>
      <c r="I81">
        <v>688</v>
      </c>
      <c r="J81" t="e" vm="9">
        <v>#VALUE!</v>
      </c>
      <c r="K81" t="e" cm="1" vm="4">
        <f t="array" aca="1" ref="K81" ca="1">_FV(Tabella2[[#This Row],[City]],"Paese/area geografica",TRUE)</f>
        <v>#VALUE!</v>
      </c>
      <c r="L81">
        <f>Tabella2[[#This Row],[Quantity]]*Tabella2[[#This Row],[Price]]</f>
        <v>2401.1200000000003</v>
      </c>
    </row>
    <row r="82" spans="2:12" x14ac:dyDescent="0.3">
      <c r="B82" s="3">
        <v>10533</v>
      </c>
      <c r="C82" s="4">
        <v>44888</v>
      </c>
      <c r="D82" t="s">
        <v>12</v>
      </c>
      <c r="E82" s="3">
        <v>2.95</v>
      </c>
      <c r="F82" s="3" t="s">
        <v>22</v>
      </c>
      <c r="G82" s="3" t="s">
        <v>23</v>
      </c>
      <c r="H82" t="s">
        <v>21</v>
      </c>
      <c r="I82">
        <v>746</v>
      </c>
      <c r="J82" t="e" vm="9">
        <v>#VALUE!</v>
      </c>
      <c r="K82" t="e" cm="1" vm="4">
        <f t="array" aca="1" ref="K82" ca="1">_FV(Tabella2[[#This Row],[City]],"Paese/area geografica",TRUE)</f>
        <v>#VALUE!</v>
      </c>
      <c r="L82">
        <f>Tabella2[[#This Row],[Quantity]]*Tabella2[[#This Row],[Price]]</f>
        <v>2200.7000000000003</v>
      </c>
    </row>
    <row r="83" spans="2:12" x14ac:dyDescent="0.3">
      <c r="B83" s="3">
        <v>10534</v>
      </c>
      <c r="C83" s="4">
        <v>44888</v>
      </c>
      <c r="D83" t="s">
        <v>13</v>
      </c>
      <c r="E83" s="3">
        <v>4.99</v>
      </c>
      <c r="F83" s="3" t="s">
        <v>22</v>
      </c>
      <c r="G83" s="3" t="s">
        <v>23</v>
      </c>
      <c r="H83" t="s">
        <v>20</v>
      </c>
      <c r="I83">
        <v>201</v>
      </c>
      <c r="J83" t="e" vm="8">
        <v>#VALUE!</v>
      </c>
      <c r="K83" t="e" cm="1" vm="5">
        <f t="array" aca="1" ref="K83" ca="1">_FV(Tabella2[[#This Row],[City]],"Paese/area geografica",TRUE)</f>
        <v>#VALUE!</v>
      </c>
      <c r="L83">
        <f>Tabella2[[#This Row],[Quantity]]*Tabella2[[#This Row],[Price]]</f>
        <v>1002.99</v>
      </c>
    </row>
    <row r="84" spans="2:12" x14ac:dyDescent="0.3">
      <c r="B84" s="3">
        <v>10535</v>
      </c>
      <c r="C84" s="4">
        <v>44889</v>
      </c>
      <c r="D84" t="s">
        <v>15</v>
      </c>
      <c r="E84" s="3">
        <v>12.99</v>
      </c>
      <c r="F84" s="3" t="s">
        <v>22</v>
      </c>
      <c r="G84" s="3" t="s">
        <v>16</v>
      </c>
      <c r="H84" t="s">
        <v>20</v>
      </c>
      <c r="I84">
        <v>478</v>
      </c>
      <c r="J84" t="e" vm="8">
        <v>#VALUE!</v>
      </c>
      <c r="K84" t="e" cm="1" vm="5">
        <f t="array" aca="1" ref="K84" ca="1">_FV(Tabella2[[#This Row],[City]],"Paese/area geografica",TRUE)</f>
        <v>#VALUE!</v>
      </c>
      <c r="L84">
        <f>Tabella2[[#This Row],[Quantity]]*Tabella2[[#This Row],[Price]]</f>
        <v>6209.22</v>
      </c>
    </row>
    <row r="85" spans="2:12" x14ac:dyDescent="0.3">
      <c r="B85" s="3">
        <v>10536</v>
      </c>
      <c r="C85" s="4">
        <v>44889</v>
      </c>
      <c r="D85" t="s">
        <v>18</v>
      </c>
      <c r="E85" s="3">
        <v>9.9499999999999993</v>
      </c>
      <c r="F85" s="3" t="s">
        <v>22</v>
      </c>
      <c r="G85" s="3" t="s">
        <v>16</v>
      </c>
      <c r="H85" t="s">
        <v>20</v>
      </c>
      <c r="I85">
        <v>202</v>
      </c>
      <c r="J85" t="e" vm="8">
        <v>#VALUE!</v>
      </c>
      <c r="K85" t="e" cm="1" vm="5">
        <f t="array" aca="1" ref="K85" ca="1">_FV(Tabella2[[#This Row],[City]],"Paese/area geografica",TRUE)</f>
        <v>#VALUE!</v>
      </c>
      <c r="L85">
        <f>Tabella2[[#This Row],[Quantity]]*Tabella2[[#This Row],[Price]]</f>
        <v>2009.8999999999999</v>
      </c>
    </row>
    <row r="86" spans="2:12" x14ac:dyDescent="0.3">
      <c r="B86" s="3">
        <v>10537</v>
      </c>
      <c r="C86" s="4">
        <v>44889</v>
      </c>
      <c r="D86" t="s">
        <v>9</v>
      </c>
      <c r="E86" s="3">
        <v>3.49</v>
      </c>
      <c r="F86" s="3" t="s">
        <v>22</v>
      </c>
      <c r="G86" s="3" t="s">
        <v>16</v>
      </c>
      <c r="H86" t="s">
        <v>20</v>
      </c>
      <c r="I86">
        <v>631</v>
      </c>
      <c r="J86" t="e" vm="8">
        <v>#VALUE!</v>
      </c>
      <c r="K86" t="e" cm="1" vm="5">
        <f t="array" aca="1" ref="K86" ca="1">_FV(Tabella2[[#This Row],[City]],"Paese/area geografica",TRUE)</f>
        <v>#VALUE!</v>
      </c>
      <c r="L86">
        <f>Tabella2[[#This Row],[Quantity]]*Tabella2[[#This Row],[Price]]</f>
        <v>2202.19</v>
      </c>
    </row>
    <row r="87" spans="2:12" x14ac:dyDescent="0.3">
      <c r="B87" s="3">
        <v>10538</v>
      </c>
      <c r="C87" s="4">
        <v>44889</v>
      </c>
      <c r="D87" t="s">
        <v>12</v>
      </c>
      <c r="E87" s="3">
        <v>2.95</v>
      </c>
      <c r="F87" s="3" t="s">
        <v>22</v>
      </c>
      <c r="G87" s="3" t="s">
        <v>16</v>
      </c>
      <c r="H87" t="s">
        <v>20</v>
      </c>
      <c r="I87">
        <v>746</v>
      </c>
      <c r="J87" t="e" vm="8">
        <v>#VALUE!</v>
      </c>
      <c r="K87" t="e" cm="1" vm="5">
        <f t="array" aca="1" ref="K87" ca="1">_FV(Tabella2[[#This Row],[City]],"Paese/area geografica",TRUE)</f>
        <v>#VALUE!</v>
      </c>
      <c r="L87">
        <f>Tabella2[[#This Row],[Quantity]]*Tabella2[[#This Row],[Price]]</f>
        <v>2200.7000000000003</v>
      </c>
    </row>
    <row r="88" spans="2:12" x14ac:dyDescent="0.3">
      <c r="B88" s="3">
        <v>10539</v>
      </c>
      <c r="C88" s="4">
        <v>44889</v>
      </c>
      <c r="D88" t="s">
        <v>13</v>
      </c>
      <c r="E88" s="3">
        <v>4.99</v>
      </c>
      <c r="F88" s="3" t="s">
        <v>22</v>
      </c>
      <c r="G88" s="3" t="s">
        <v>16</v>
      </c>
      <c r="H88" t="s">
        <v>20</v>
      </c>
      <c r="I88">
        <v>201</v>
      </c>
      <c r="J88" t="e" vm="8">
        <v>#VALUE!</v>
      </c>
      <c r="K88" t="e" cm="1" vm="5">
        <f t="array" aca="1" ref="K88" ca="1">_FV(Tabella2[[#This Row],[City]],"Paese/area geografica",TRUE)</f>
        <v>#VALUE!</v>
      </c>
      <c r="L88">
        <f>Tabella2[[#This Row],[Quantity]]*Tabella2[[#This Row],[Price]]</f>
        <v>1002.99</v>
      </c>
    </row>
    <row r="89" spans="2:12" x14ac:dyDescent="0.3">
      <c r="B89" s="3">
        <v>10540</v>
      </c>
      <c r="C89" s="4">
        <v>44890</v>
      </c>
      <c r="D89" t="s">
        <v>15</v>
      </c>
      <c r="E89" s="3">
        <v>12.99</v>
      </c>
      <c r="F89" s="3" t="s">
        <v>22</v>
      </c>
      <c r="G89" s="3" t="s">
        <v>16</v>
      </c>
      <c r="H89" t="s">
        <v>20</v>
      </c>
      <c r="I89">
        <v>462</v>
      </c>
      <c r="J89" t="e" vm="8">
        <v>#VALUE!</v>
      </c>
      <c r="K89" t="e" cm="1" vm="5">
        <f t="array" aca="1" ref="K89" ca="1">_FV(Tabella2[[#This Row],[City]],"Paese/area geografica",TRUE)</f>
        <v>#VALUE!</v>
      </c>
      <c r="L89">
        <f>Tabella2[[#This Row],[Quantity]]*Tabella2[[#This Row],[Price]]</f>
        <v>6001.38</v>
      </c>
    </row>
    <row r="90" spans="2:12" x14ac:dyDescent="0.3">
      <c r="B90" s="3">
        <v>10541</v>
      </c>
      <c r="C90" s="4">
        <v>44890</v>
      </c>
      <c r="D90" t="s">
        <v>18</v>
      </c>
      <c r="E90" s="3">
        <v>9.9499999999999993</v>
      </c>
      <c r="F90" s="3" t="s">
        <v>22</v>
      </c>
      <c r="G90" s="3" t="s">
        <v>16</v>
      </c>
      <c r="H90" t="s">
        <v>24</v>
      </c>
      <c r="I90">
        <v>202</v>
      </c>
      <c r="J90" t="e" vm="7">
        <v>#VALUE!</v>
      </c>
      <c r="K90" t="e" cm="1" vm="3">
        <f t="array" aca="1" ref="K90" ca="1">_FV(Tabella2[[#This Row],[City]],"Paese/area geografica",TRUE)</f>
        <v>#VALUE!</v>
      </c>
      <c r="L90">
        <f>Tabella2[[#This Row],[Quantity]]*Tabella2[[#This Row],[Price]]</f>
        <v>2009.8999999999999</v>
      </c>
    </row>
    <row r="91" spans="2:12" x14ac:dyDescent="0.3">
      <c r="B91" s="3">
        <v>10542</v>
      </c>
      <c r="C91" s="4">
        <v>44890</v>
      </c>
      <c r="D91" t="s">
        <v>9</v>
      </c>
      <c r="E91" s="3">
        <v>3.49</v>
      </c>
      <c r="F91" s="3" t="s">
        <v>22</v>
      </c>
      <c r="G91" s="3" t="s">
        <v>16</v>
      </c>
      <c r="H91" t="s">
        <v>24</v>
      </c>
      <c r="I91">
        <v>631</v>
      </c>
      <c r="J91" t="e" vm="7">
        <v>#VALUE!</v>
      </c>
      <c r="K91" t="e" cm="1" vm="3">
        <f t="array" aca="1" ref="K91" ca="1">_FV(Tabella2[[#This Row],[City]],"Paese/area geografica",TRUE)</f>
        <v>#VALUE!</v>
      </c>
      <c r="L91">
        <f>Tabella2[[#This Row],[Quantity]]*Tabella2[[#This Row],[Price]]</f>
        <v>2202.19</v>
      </c>
    </row>
    <row r="92" spans="2:12" x14ac:dyDescent="0.3">
      <c r="B92" s="3">
        <v>10543</v>
      </c>
      <c r="C92" s="4">
        <v>44890</v>
      </c>
      <c r="D92" t="s">
        <v>12</v>
      </c>
      <c r="E92" s="3">
        <v>2.95</v>
      </c>
      <c r="F92" s="3" t="s">
        <v>22</v>
      </c>
      <c r="G92" s="3" t="s">
        <v>16</v>
      </c>
      <c r="H92" t="s">
        <v>24</v>
      </c>
      <c r="I92">
        <v>746</v>
      </c>
      <c r="J92" t="e" vm="7">
        <v>#VALUE!</v>
      </c>
      <c r="K92" t="e" cm="1" vm="3">
        <f t="array" aca="1" ref="K92" ca="1">_FV(Tabella2[[#This Row],[City]],"Paese/area geografica",TRUE)</f>
        <v>#VALUE!</v>
      </c>
      <c r="L92">
        <f>Tabella2[[#This Row],[Quantity]]*Tabella2[[#This Row],[Price]]</f>
        <v>2200.7000000000003</v>
      </c>
    </row>
    <row r="93" spans="2:12" x14ac:dyDescent="0.3">
      <c r="B93" s="3">
        <v>10544</v>
      </c>
      <c r="C93" s="4">
        <v>44890</v>
      </c>
      <c r="D93" t="s">
        <v>13</v>
      </c>
      <c r="E93" s="3">
        <v>4.99</v>
      </c>
      <c r="F93" s="3" t="s">
        <v>22</v>
      </c>
      <c r="G93" s="3" t="s">
        <v>16</v>
      </c>
      <c r="H93" t="s">
        <v>24</v>
      </c>
      <c r="I93">
        <v>201</v>
      </c>
      <c r="J93" t="e" vm="7">
        <v>#VALUE!</v>
      </c>
      <c r="K93" t="e" cm="1" vm="3">
        <f t="array" aca="1" ref="K93" ca="1">_FV(Tabella2[[#This Row],[City]],"Paese/area geografica",TRUE)</f>
        <v>#VALUE!</v>
      </c>
      <c r="L93">
        <f>Tabella2[[#This Row],[Quantity]]*Tabella2[[#This Row],[Price]]</f>
        <v>1002.99</v>
      </c>
    </row>
    <row r="94" spans="2:12" x14ac:dyDescent="0.3">
      <c r="B94" s="3">
        <v>10545</v>
      </c>
      <c r="C94" s="4">
        <v>44891</v>
      </c>
      <c r="D94" t="s">
        <v>15</v>
      </c>
      <c r="E94" s="3">
        <v>12.99</v>
      </c>
      <c r="F94" s="3" t="s">
        <v>22</v>
      </c>
      <c r="G94" s="3" t="s">
        <v>16</v>
      </c>
      <c r="H94" t="s">
        <v>24</v>
      </c>
      <c r="I94">
        <v>447</v>
      </c>
      <c r="J94" t="e" vm="7">
        <v>#VALUE!</v>
      </c>
      <c r="K94" t="e" cm="1" vm="3">
        <f t="array" aca="1" ref="K94" ca="1">_FV(Tabella2[[#This Row],[City]],"Paese/area geografica",TRUE)</f>
        <v>#VALUE!</v>
      </c>
      <c r="L94">
        <f>Tabella2[[#This Row],[Quantity]]*Tabella2[[#This Row],[Price]]</f>
        <v>5806.53</v>
      </c>
    </row>
    <row r="95" spans="2:12" x14ac:dyDescent="0.3">
      <c r="B95" s="3">
        <v>10546</v>
      </c>
      <c r="C95" s="4">
        <v>44891</v>
      </c>
      <c r="D95" t="s">
        <v>18</v>
      </c>
      <c r="E95" s="3">
        <v>9.9499999999999993</v>
      </c>
      <c r="F95" s="3" t="s">
        <v>22</v>
      </c>
      <c r="G95" s="3" t="s">
        <v>16</v>
      </c>
      <c r="H95" t="s">
        <v>24</v>
      </c>
      <c r="I95">
        <v>202</v>
      </c>
      <c r="J95" t="e" vm="7">
        <v>#VALUE!</v>
      </c>
      <c r="K95" t="e" cm="1" vm="3">
        <f t="array" aca="1" ref="K95" ca="1">_FV(Tabella2[[#This Row],[City]],"Paese/area geografica",TRUE)</f>
        <v>#VALUE!</v>
      </c>
      <c r="L95">
        <f>Tabella2[[#This Row],[Quantity]]*Tabella2[[#This Row],[Price]]</f>
        <v>2009.8999999999999</v>
      </c>
    </row>
    <row r="96" spans="2:12" x14ac:dyDescent="0.3">
      <c r="B96" s="3">
        <v>10547</v>
      </c>
      <c r="C96" s="4">
        <v>44891</v>
      </c>
      <c r="D96" t="s">
        <v>9</v>
      </c>
      <c r="E96" s="3">
        <v>3.49</v>
      </c>
      <c r="F96" s="3" t="s">
        <v>22</v>
      </c>
      <c r="G96" s="3" t="s">
        <v>16</v>
      </c>
      <c r="H96" t="s">
        <v>24</v>
      </c>
      <c r="I96">
        <v>631</v>
      </c>
      <c r="J96" t="e" vm="7">
        <v>#VALUE!</v>
      </c>
      <c r="K96" t="e" cm="1" vm="3">
        <f t="array" aca="1" ref="K96" ca="1">_FV(Tabella2[[#This Row],[City]],"Paese/area geografica",TRUE)</f>
        <v>#VALUE!</v>
      </c>
      <c r="L96">
        <f>Tabella2[[#This Row],[Quantity]]*Tabella2[[#This Row],[Price]]</f>
        <v>2202.19</v>
      </c>
    </row>
    <row r="97" spans="2:12" x14ac:dyDescent="0.3">
      <c r="B97" s="3">
        <v>10548</v>
      </c>
      <c r="C97" s="4">
        <v>44891</v>
      </c>
      <c r="D97" t="s">
        <v>12</v>
      </c>
      <c r="E97" s="3">
        <v>2.95</v>
      </c>
      <c r="F97" s="3" t="s">
        <v>22</v>
      </c>
      <c r="G97" s="3" t="s">
        <v>16</v>
      </c>
      <c r="H97" t="s">
        <v>24</v>
      </c>
      <c r="I97">
        <v>746</v>
      </c>
      <c r="J97" t="e" vm="7">
        <v>#VALUE!</v>
      </c>
      <c r="K97" t="e" cm="1" vm="3">
        <f t="array" aca="1" ref="K97" ca="1">_FV(Tabella2[[#This Row],[City]],"Paese/area geografica",TRUE)</f>
        <v>#VALUE!</v>
      </c>
      <c r="L97">
        <f>Tabella2[[#This Row],[Quantity]]*Tabella2[[#This Row],[Price]]</f>
        <v>2200.7000000000003</v>
      </c>
    </row>
    <row r="98" spans="2:12" x14ac:dyDescent="0.3">
      <c r="B98" s="3">
        <v>10549</v>
      </c>
      <c r="C98" s="4">
        <v>44891</v>
      </c>
      <c r="D98" t="s">
        <v>13</v>
      </c>
      <c r="E98" s="3">
        <v>4.99</v>
      </c>
      <c r="F98" s="3" t="s">
        <v>22</v>
      </c>
      <c r="G98" s="3" t="s">
        <v>16</v>
      </c>
      <c r="H98" t="s">
        <v>24</v>
      </c>
      <c r="I98">
        <v>201</v>
      </c>
      <c r="J98" t="e" vm="7">
        <v>#VALUE!</v>
      </c>
      <c r="K98" t="e" cm="1" vm="3">
        <f t="array" aca="1" ref="K98" ca="1">_FV(Tabella2[[#This Row],[City]],"Paese/area geografica",TRUE)</f>
        <v>#VALUE!</v>
      </c>
      <c r="L98">
        <f>Tabella2[[#This Row],[Quantity]]*Tabella2[[#This Row],[Price]]</f>
        <v>1002.99</v>
      </c>
    </row>
    <row r="99" spans="2:12" x14ac:dyDescent="0.3">
      <c r="B99" s="3">
        <v>10550</v>
      </c>
      <c r="C99" s="4">
        <v>44892</v>
      </c>
      <c r="D99" t="s">
        <v>15</v>
      </c>
      <c r="E99" s="3">
        <v>12.99</v>
      </c>
      <c r="F99" s="3" t="s">
        <v>22</v>
      </c>
      <c r="G99" s="3" t="s">
        <v>16</v>
      </c>
      <c r="H99" t="s">
        <v>24</v>
      </c>
      <c r="I99">
        <v>462</v>
      </c>
      <c r="J99" t="e" vm="7">
        <v>#VALUE!</v>
      </c>
      <c r="K99" t="e" cm="1" vm="3">
        <f t="array" aca="1" ref="K99" ca="1">_FV(Tabella2[[#This Row],[City]],"Paese/area geografica",TRUE)</f>
        <v>#VALUE!</v>
      </c>
      <c r="L99">
        <f>Tabella2[[#This Row],[Quantity]]*Tabella2[[#This Row],[Price]]</f>
        <v>6001.38</v>
      </c>
    </row>
    <row r="100" spans="2:12" x14ac:dyDescent="0.3">
      <c r="B100" s="3">
        <v>10551</v>
      </c>
      <c r="C100" s="4">
        <v>44892</v>
      </c>
      <c r="D100" t="s">
        <v>18</v>
      </c>
      <c r="E100" s="3">
        <v>9.9499999999999993</v>
      </c>
      <c r="F100" s="3" t="s">
        <v>22</v>
      </c>
      <c r="G100" s="3" t="s">
        <v>16</v>
      </c>
      <c r="H100" t="s">
        <v>24</v>
      </c>
      <c r="I100">
        <v>202</v>
      </c>
      <c r="J100" t="e" vm="7">
        <v>#VALUE!</v>
      </c>
      <c r="K100" t="e" cm="1" vm="3">
        <f t="array" aca="1" ref="K100" ca="1">_FV(Tabella2[[#This Row],[City]],"Paese/area geografica",TRUE)</f>
        <v>#VALUE!</v>
      </c>
      <c r="L100">
        <f>Tabella2[[#This Row],[Quantity]]*Tabella2[[#This Row],[Price]]</f>
        <v>2009.8999999999999</v>
      </c>
    </row>
    <row r="101" spans="2:12" x14ac:dyDescent="0.3">
      <c r="B101" s="3">
        <v>10552</v>
      </c>
      <c r="C101" s="4">
        <v>44892</v>
      </c>
      <c r="D101" t="s">
        <v>9</v>
      </c>
      <c r="E101" s="3">
        <v>3.49</v>
      </c>
      <c r="F101" s="3" t="s">
        <v>10</v>
      </c>
      <c r="G101" s="3" t="s">
        <v>16</v>
      </c>
      <c r="H101" t="s">
        <v>24</v>
      </c>
      <c r="I101">
        <v>631</v>
      </c>
      <c r="J101" t="e" vm="7">
        <v>#VALUE!</v>
      </c>
      <c r="K101" t="e" cm="1" vm="3">
        <f t="array" aca="1" ref="K101" ca="1">_FV(Tabella2[[#This Row],[City]],"Paese/area geografica",TRUE)</f>
        <v>#VALUE!</v>
      </c>
      <c r="L101">
        <f>Tabella2[[#This Row],[Quantity]]*Tabella2[[#This Row],[Price]]</f>
        <v>2202.19</v>
      </c>
    </row>
    <row r="102" spans="2:12" x14ac:dyDescent="0.3">
      <c r="B102" s="3">
        <v>10553</v>
      </c>
      <c r="C102" s="4">
        <v>44892</v>
      </c>
      <c r="D102" t="s">
        <v>12</v>
      </c>
      <c r="E102" s="3">
        <v>2.95</v>
      </c>
      <c r="F102" s="3" t="s">
        <v>10</v>
      </c>
      <c r="G102" s="3" t="s">
        <v>16</v>
      </c>
      <c r="H102" t="s">
        <v>24</v>
      </c>
      <c r="I102">
        <v>746</v>
      </c>
      <c r="J102" t="e" vm="7">
        <v>#VALUE!</v>
      </c>
      <c r="K102" t="e" cm="1" vm="3">
        <f t="array" aca="1" ref="K102" ca="1">_FV(Tabella2[[#This Row],[City]],"Paese/area geografica",TRUE)</f>
        <v>#VALUE!</v>
      </c>
      <c r="L102">
        <f>Tabella2[[#This Row],[Quantity]]*Tabella2[[#This Row],[Price]]</f>
        <v>2200.7000000000003</v>
      </c>
    </row>
    <row r="103" spans="2:12" x14ac:dyDescent="0.3">
      <c r="B103" s="3">
        <v>10554</v>
      </c>
      <c r="C103" s="4">
        <v>44892</v>
      </c>
      <c r="D103" t="s">
        <v>13</v>
      </c>
      <c r="E103" s="3">
        <v>4.99</v>
      </c>
      <c r="F103" s="3" t="s">
        <v>10</v>
      </c>
      <c r="G103" s="3" t="s">
        <v>16</v>
      </c>
      <c r="H103" t="s">
        <v>24</v>
      </c>
      <c r="I103">
        <v>201</v>
      </c>
      <c r="J103" t="e" vm="7">
        <v>#VALUE!</v>
      </c>
      <c r="K103" t="e" cm="1" vm="3">
        <f t="array" aca="1" ref="K103" ca="1">_FV(Tabella2[[#This Row],[City]],"Paese/area geografica",TRUE)</f>
        <v>#VALUE!</v>
      </c>
      <c r="L103">
        <f>Tabella2[[#This Row],[Quantity]]*Tabella2[[#This Row],[Price]]</f>
        <v>1002.99</v>
      </c>
    </row>
    <row r="104" spans="2:12" x14ac:dyDescent="0.3">
      <c r="B104" s="3">
        <v>10555</v>
      </c>
      <c r="C104" s="4">
        <v>44893</v>
      </c>
      <c r="D104" t="s">
        <v>15</v>
      </c>
      <c r="E104" s="3">
        <v>12.99</v>
      </c>
      <c r="F104" s="3" t="s">
        <v>10</v>
      </c>
      <c r="G104" s="3" t="s">
        <v>16</v>
      </c>
      <c r="H104" t="s">
        <v>24</v>
      </c>
      <c r="I104">
        <v>478</v>
      </c>
      <c r="J104" t="e" vm="7">
        <v>#VALUE!</v>
      </c>
      <c r="K104" t="e" cm="1" vm="3">
        <f t="array" aca="1" ref="K104" ca="1">_FV(Tabella2[[#This Row],[City]],"Paese/area geografica",TRUE)</f>
        <v>#VALUE!</v>
      </c>
      <c r="L104">
        <f>Tabella2[[#This Row],[Quantity]]*Tabella2[[#This Row],[Price]]</f>
        <v>6209.22</v>
      </c>
    </row>
    <row r="105" spans="2:12" x14ac:dyDescent="0.3">
      <c r="B105" s="3">
        <v>10556</v>
      </c>
      <c r="C105" s="4">
        <v>44893</v>
      </c>
      <c r="D105" t="s">
        <v>18</v>
      </c>
      <c r="E105" s="3">
        <v>9.9499999999999993</v>
      </c>
      <c r="F105" s="3" t="s">
        <v>10</v>
      </c>
      <c r="G105" s="3" t="s">
        <v>16</v>
      </c>
      <c r="H105" t="s">
        <v>24</v>
      </c>
      <c r="I105">
        <v>202</v>
      </c>
      <c r="J105" t="e" vm="7">
        <v>#VALUE!</v>
      </c>
      <c r="K105" t="e" cm="1" vm="3">
        <f t="array" aca="1" ref="K105" ca="1">_FV(Tabella2[[#This Row],[City]],"Paese/area geografica",TRUE)</f>
        <v>#VALUE!</v>
      </c>
      <c r="L105">
        <f>Tabella2[[#This Row],[Quantity]]*Tabella2[[#This Row],[Price]]</f>
        <v>2009.8999999999999</v>
      </c>
    </row>
    <row r="106" spans="2:12" x14ac:dyDescent="0.3">
      <c r="B106" s="3">
        <v>10557</v>
      </c>
      <c r="C106" s="4">
        <v>44893</v>
      </c>
      <c r="D106" t="s">
        <v>9</v>
      </c>
      <c r="E106" s="3">
        <v>3.49</v>
      </c>
      <c r="F106" s="3" t="s">
        <v>10</v>
      </c>
      <c r="G106" s="3" t="s">
        <v>16</v>
      </c>
      <c r="H106" t="s">
        <v>24</v>
      </c>
      <c r="I106">
        <v>631</v>
      </c>
      <c r="J106" t="e" vm="7">
        <v>#VALUE!</v>
      </c>
      <c r="K106" t="e" cm="1" vm="3">
        <f t="array" aca="1" ref="K106" ca="1">_FV(Tabella2[[#This Row],[City]],"Paese/area geografica",TRUE)</f>
        <v>#VALUE!</v>
      </c>
      <c r="L106">
        <f>Tabella2[[#This Row],[Quantity]]*Tabella2[[#This Row],[Price]]</f>
        <v>2202.19</v>
      </c>
    </row>
    <row r="107" spans="2:12" x14ac:dyDescent="0.3">
      <c r="B107" s="3">
        <v>10558</v>
      </c>
      <c r="C107" s="4">
        <v>44893</v>
      </c>
      <c r="D107" t="s">
        <v>12</v>
      </c>
      <c r="E107" s="3">
        <v>2.95</v>
      </c>
      <c r="F107" s="3" t="s">
        <v>10</v>
      </c>
      <c r="G107" s="3" t="s">
        <v>16</v>
      </c>
      <c r="H107" t="s">
        <v>24</v>
      </c>
      <c r="I107">
        <v>678</v>
      </c>
      <c r="J107" t="e" vm="7">
        <v>#VALUE!</v>
      </c>
      <c r="K107" t="e" cm="1" vm="3">
        <f t="array" aca="1" ref="K107" ca="1">_FV(Tabella2[[#This Row],[City]],"Paese/area geografica",TRUE)</f>
        <v>#VALUE!</v>
      </c>
      <c r="L107">
        <f>Tabella2[[#This Row],[Quantity]]*Tabella2[[#This Row],[Price]]</f>
        <v>2000.1000000000001</v>
      </c>
    </row>
    <row r="108" spans="2:12" x14ac:dyDescent="0.3">
      <c r="B108" s="3">
        <v>10559</v>
      </c>
      <c r="C108" s="4">
        <v>44893</v>
      </c>
      <c r="D108" t="s">
        <v>13</v>
      </c>
      <c r="E108" s="3">
        <v>4.99</v>
      </c>
      <c r="F108" s="3" t="s">
        <v>10</v>
      </c>
      <c r="G108" s="3" t="s">
        <v>16</v>
      </c>
      <c r="H108" t="s">
        <v>24</v>
      </c>
      <c r="I108">
        <v>201</v>
      </c>
      <c r="J108" t="e" vm="7">
        <v>#VALUE!</v>
      </c>
      <c r="K108" t="e" cm="1" vm="3">
        <f t="array" aca="1" ref="K108" ca="1">_FV(Tabella2[[#This Row],[City]],"Paese/area geografica",TRUE)</f>
        <v>#VALUE!</v>
      </c>
      <c r="L108">
        <f>Tabella2[[#This Row],[Quantity]]*Tabella2[[#This Row],[Price]]</f>
        <v>1002.99</v>
      </c>
    </row>
    <row r="109" spans="2:12" x14ac:dyDescent="0.3">
      <c r="B109" s="3">
        <v>10560</v>
      </c>
      <c r="C109" s="4">
        <v>44894</v>
      </c>
      <c r="D109" t="s">
        <v>15</v>
      </c>
      <c r="E109" s="3">
        <v>12.99</v>
      </c>
      <c r="F109" s="3" t="s">
        <v>10</v>
      </c>
      <c r="G109" s="3" t="s">
        <v>16</v>
      </c>
      <c r="H109" t="s">
        <v>24</v>
      </c>
      <c r="I109">
        <v>478</v>
      </c>
      <c r="J109" t="e" vm="7">
        <v>#VALUE!</v>
      </c>
      <c r="K109" t="e" cm="1" vm="3">
        <f t="array" aca="1" ref="K109" ca="1">_FV(Tabella2[[#This Row],[City]],"Paese/area geografica",TRUE)</f>
        <v>#VALUE!</v>
      </c>
      <c r="L109">
        <f>Tabella2[[#This Row],[Quantity]]*Tabella2[[#This Row],[Price]]</f>
        <v>6209.22</v>
      </c>
    </row>
    <row r="110" spans="2:12" x14ac:dyDescent="0.3">
      <c r="B110" s="3">
        <v>10561</v>
      </c>
      <c r="C110" s="4">
        <v>44894</v>
      </c>
      <c r="D110" t="s">
        <v>18</v>
      </c>
      <c r="E110" s="3">
        <v>9.9499999999999993</v>
      </c>
      <c r="F110" s="3" t="s">
        <v>10</v>
      </c>
      <c r="G110" s="3" t="s">
        <v>16</v>
      </c>
      <c r="H110" t="s">
        <v>24</v>
      </c>
      <c r="I110">
        <v>202</v>
      </c>
      <c r="J110" t="e" vm="7">
        <v>#VALUE!</v>
      </c>
      <c r="K110" t="e" cm="1" vm="3">
        <f t="array" aca="1" ref="K110" ca="1">_FV(Tabella2[[#This Row],[City]],"Paese/area geografica",TRUE)</f>
        <v>#VALUE!</v>
      </c>
      <c r="L110">
        <f>Tabella2[[#This Row],[Quantity]]*Tabella2[[#This Row],[Price]]</f>
        <v>2009.8999999999999</v>
      </c>
    </row>
    <row r="111" spans="2:12" x14ac:dyDescent="0.3">
      <c r="B111" s="3">
        <v>10562</v>
      </c>
      <c r="C111" s="4">
        <v>44894</v>
      </c>
      <c r="D111" t="s">
        <v>9</v>
      </c>
      <c r="E111" s="3">
        <v>3.49</v>
      </c>
      <c r="F111" s="3" t="s">
        <v>10</v>
      </c>
      <c r="G111" s="3" t="s">
        <v>16</v>
      </c>
      <c r="H111" t="s">
        <v>24</v>
      </c>
      <c r="I111">
        <v>631</v>
      </c>
      <c r="J111" t="e" vm="7">
        <v>#VALUE!</v>
      </c>
      <c r="K111" t="e" cm="1" vm="3">
        <f t="array" aca="1" ref="K111" ca="1">_FV(Tabella2[[#This Row],[City]],"Paese/area geografica",TRUE)</f>
        <v>#VALUE!</v>
      </c>
      <c r="L111">
        <f>Tabella2[[#This Row],[Quantity]]*Tabella2[[#This Row],[Price]]</f>
        <v>2202.19</v>
      </c>
    </row>
    <row r="112" spans="2:12" x14ac:dyDescent="0.3">
      <c r="B112" s="3">
        <v>10563</v>
      </c>
      <c r="C112" s="4">
        <v>44894</v>
      </c>
      <c r="D112" t="s">
        <v>12</v>
      </c>
      <c r="E112" s="3">
        <v>2.95</v>
      </c>
      <c r="F112" s="3" t="s">
        <v>10</v>
      </c>
      <c r="G112" s="3" t="s">
        <v>16</v>
      </c>
      <c r="H112" t="s">
        <v>24</v>
      </c>
      <c r="I112">
        <v>678</v>
      </c>
      <c r="J112" t="e" vm="7">
        <v>#VALUE!</v>
      </c>
      <c r="K112" t="e" cm="1" vm="3">
        <f t="array" aca="1" ref="K112" ca="1">_FV(Tabella2[[#This Row],[City]],"Paese/area geografica",TRUE)</f>
        <v>#VALUE!</v>
      </c>
      <c r="L112">
        <f>Tabella2[[#This Row],[Quantity]]*Tabella2[[#This Row],[Price]]</f>
        <v>2000.1000000000001</v>
      </c>
    </row>
    <row r="113" spans="2:12" x14ac:dyDescent="0.3">
      <c r="B113" s="3">
        <v>10564</v>
      </c>
      <c r="C113" s="4">
        <v>44894</v>
      </c>
      <c r="D113" t="s">
        <v>13</v>
      </c>
      <c r="E113" s="3">
        <v>4.99</v>
      </c>
      <c r="F113" s="3" t="s">
        <v>10</v>
      </c>
      <c r="G113" s="3" t="s">
        <v>16</v>
      </c>
      <c r="H113" t="s">
        <v>24</v>
      </c>
      <c r="I113">
        <v>201</v>
      </c>
      <c r="J113" t="e" vm="7">
        <v>#VALUE!</v>
      </c>
      <c r="K113" t="e" cm="1" vm="3">
        <f t="array" aca="1" ref="K113" ca="1">_FV(Tabella2[[#This Row],[City]],"Paese/area geografica",TRUE)</f>
        <v>#VALUE!</v>
      </c>
      <c r="L113">
        <f>Tabella2[[#This Row],[Quantity]]*Tabella2[[#This Row],[Price]]</f>
        <v>1002.99</v>
      </c>
    </row>
    <row r="114" spans="2:12" x14ac:dyDescent="0.3">
      <c r="B114" s="3">
        <v>10565</v>
      </c>
      <c r="C114" s="4">
        <v>44895</v>
      </c>
      <c r="D114" t="s">
        <v>15</v>
      </c>
      <c r="E114" s="3">
        <v>12.99</v>
      </c>
      <c r="F114" s="3" t="s">
        <v>10</v>
      </c>
      <c r="G114" s="3" t="s">
        <v>16</v>
      </c>
      <c r="H114" t="s">
        <v>24</v>
      </c>
      <c r="I114">
        <v>493</v>
      </c>
      <c r="J114" t="e" vm="7">
        <v>#VALUE!</v>
      </c>
      <c r="K114" t="e" cm="1" vm="3">
        <f t="array" aca="1" ref="K114" ca="1">_FV(Tabella2[[#This Row],[City]],"Paese/area geografica",TRUE)</f>
        <v>#VALUE!</v>
      </c>
      <c r="L114">
        <f>Tabella2[[#This Row],[Quantity]]*Tabella2[[#This Row],[Price]]</f>
        <v>6404.07</v>
      </c>
    </row>
    <row r="115" spans="2:12" x14ac:dyDescent="0.3">
      <c r="B115" s="3">
        <v>10566</v>
      </c>
      <c r="C115" s="4">
        <v>44895</v>
      </c>
      <c r="D115" t="s">
        <v>18</v>
      </c>
      <c r="E115" s="3">
        <v>9.9499999999999993</v>
      </c>
      <c r="F115" s="3" t="s">
        <v>10</v>
      </c>
      <c r="G115" s="3" t="s">
        <v>16</v>
      </c>
      <c r="H115" t="s">
        <v>24</v>
      </c>
      <c r="I115">
        <v>202</v>
      </c>
      <c r="J115" t="e" vm="7">
        <v>#VALUE!</v>
      </c>
      <c r="K115" t="e" cm="1" vm="3">
        <f t="array" aca="1" ref="K115" ca="1">_FV(Tabella2[[#This Row],[City]],"Paese/area geografica",TRUE)</f>
        <v>#VALUE!</v>
      </c>
      <c r="L115">
        <f>Tabella2[[#This Row],[Quantity]]*Tabella2[[#This Row],[Price]]</f>
        <v>2009.8999999999999</v>
      </c>
    </row>
    <row r="116" spans="2:12" x14ac:dyDescent="0.3">
      <c r="B116" s="3">
        <v>10567</v>
      </c>
      <c r="C116" s="4">
        <v>44895</v>
      </c>
      <c r="D116" t="s">
        <v>9</v>
      </c>
      <c r="E116" s="3">
        <v>3.49</v>
      </c>
      <c r="F116" s="3" t="s">
        <v>10</v>
      </c>
      <c r="G116" s="3" t="s">
        <v>16</v>
      </c>
      <c r="H116" t="s">
        <v>24</v>
      </c>
      <c r="I116">
        <v>631</v>
      </c>
      <c r="J116" t="e" vm="7">
        <v>#VALUE!</v>
      </c>
      <c r="K116" t="e" cm="1" vm="3">
        <f t="array" aca="1" ref="K116" ca="1">_FV(Tabella2[[#This Row],[City]],"Paese/area geografica",TRUE)</f>
        <v>#VALUE!</v>
      </c>
      <c r="L116">
        <f>Tabella2[[#This Row],[Quantity]]*Tabella2[[#This Row],[Price]]</f>
        <v>2202.19</v>
      </c>
    </row>
    <row r="117" spans="2:12" x14ac:dyDescent="0.3">
      <c r="B117" s="3">
        <v>10568</v>
      </c>
      <c r="C117" s="4">
        <v>44895</v>
      </c>
      <c r="D117" t="s">
        <v>12</v>
      </c>
      <c r="E117" s="3">
        <v>2.95</v>
      </c>
      <c r="F117" s="3" t="s">
        <v>10</v>
      </c>
      <c r="G117" s="3" t="s">
        <v>16</v>
      </c>
      <c r="H117" t="s">
        <v>24</v>
      </c>
      <c r="I117">
        <v>678</v>
      </c>
      <c r="J117" t="e" vm="7">
        <v>#VALUE!</v>
      </c>
      <c r="K117" t="e" cm="1" vm="3">
        <f t="array" aca="1" ref="K117" ca="1">_FV(Tabella2[[#This Row],[City]],"Paese/area geografica",TRUE)</f>
        <v>#VALUE!</v>
      </c>
      <c r="L117">
        <f>Tabella2[[#This Row],[Quantity]]*Tabella2[[#This Row],[Price]]</f>
        <v>2000.1000000000001</v>
      </c>
    </row>
    <row r="118" spans="2:12" x14ac:dyDescent="0.3">
      <c r="B118" s="3">
        <v>10569</v>
      </c>
      <c r="C118" s="4">
        <v>44895</v>
      </c>
      <c r="D118" t="s">
        <v>13</v>
      </c>
      <c r="E118" s="3">
        <v>4.99</v>
      </c>
      <c r="F118" s="3" t="s">
        <v>10</v>
      </c>
      <c r="G118" s="3" t="s">
        <v>16</v>
      </c>
      <c r="H118" t="s">
        <v>24</v>
      </c>
      <c r="I118">
        <v>201</v>
      </c>
      <c r="J118" t="e" vm="7">
        <v>#VALUE!</v>
      </c>
      <c r="K118" t="e" cm="1" vm="3">
        <f t="array" aca="1" ref="K118" ca="1">_FV(Tabella2[[#This Row],[City]],"Paese/area geografica",TRUE)</f>
        <v>#VALUE!</v>
      </c>
      <c r="L118">
        <f>Tabella2[[#This Row],[Quantity]]*Tabella2[[#This Row],[Price]]</f>
        <v>1002.99</v>
      </c>
    </row>
    <row r="119" spans="2:12" x14ac:dyDescent="0.3">
      <c r="B119" s="3">
        <v>10570</v>
      </c>
      <c r="C119" s="4">
        <v>44896</v>
      </c>
      <c r="D119" t="s">
        <v>15</v>
      </c>
      <c r="E119" s="3">
        <v>12.99</v>
      </c>
      <c r="F119" s="3" t="s">
        <v>10</v>
      </c>
      <c r="G119" s="3" t="s">
        <v>16</v>
      </c>
      <c r="H119" t="s">
        <v>24</v>
      </c>
      <c r="I119">
        <v>493</v>
      </c>
      <c r="J119" t="e" vm="7">
        <v>#VALUE!</v>
      </c>
      <c r="K119" t="e" cm="1" vm="3">
        <f t="array" aca="1" ref="K119" ca="1">_FV(Tabella2[[#This Row],[City]],"Paese/area geografica",TRUE)</f>
        <v>#VALUE!</v>
      </c>
      <c r="L119">
        <f>Tabella2[[#This Row],[Quantity]]*Tabella2[[#This Row],[Price]]</f>
        <v>6404.07</v>
      </c>
    </row>
    <row r="120" spans="2:12" x14ac:dyDescent="0.3">
      <c r="B120" s="3">
        <v>10571</v>
      </c>
      <c r="C120" s="4">
        <v>44896</v>
      </c>
      <c r="D120" t="s">
        <v>18</v>
      </c>
      <c r="E120" s="3">
        <v>9.9499999999999993</v>
      </c>
      <c r="F120" s="3" t="s">
        <v>10</v>
      </c>
      <c r="G120" s="3" t="s">
        <v>16</v>
      </c>
      <c r="H120" t="s">
        <v>24</v>
      </c>
      <c r="I120">
        <v>202</v>
      </c>
      <c r="J120" t="e" vm="7">
        <v>#VALUE!</v>
      </c>
      <c r="K120" t="e" cm="1" vm="3">
        <f t="array" aca="1" ref="K120" ca="1">_FV(Tabella2[[#This Row],[City]],"Paese/area geografica",TRUE)</f>
        <v>#VALUE!</v>
      </c>
      <c r="L120">
        <f>Tabella2[[#This Row],[Quantity]]*Tabella2[[#This Row],[Price]]</f>
        <v>2009.8999999999999</v>
      </c>
    </row>
    <row r="121" spans="2:12" x14ac:dyDescent="0.3">
      <c r="B121" s="3">
        <v>10572</v>
      </c>
      <c r="C121" s="4">
        <v>44896</v>
      </c>
      <c r="D121" t="s">
        <v>9</v>
      </c>
      <c r="E121" s="3">
        <v>3.49</v>
      </c>
      <c r="F121" s="3" t="s">
        <v>10</v>
      </c>
      <c r="G121" s="3" t="s">
        <v>16</v>
      </c>
      <c r="H121" t="s">
        <v>19</v>
      </c>
      <c r="I121">
        <v>574</v>
      </c>
      <c r="J121" t="e" vm="6">
        <v>#VALUE!</v>
      </c>
      <c r="K121" t="e" cm="1" vm="1">
        <f t="array" aca="1" ref="K121" ca="1">_FV(Tabella2[[#This Row],[City]],"Paese/area geografica",TRUE)</f>
        <v>#VALUE!</v>
      </c>
      <c r="L121">
        <f>Tabella2[[#This Row],[Quantity]]*Tabella2[[#This Row],[Price]]</f>
        <v>2003.2600000000002</v>
      </c>
    </row>
    <row r="122" spans="2:12" x14ac:dyDescent="0.3">
      <c r="B122" s="3">
        <v>10573</v>
      </c>
      <c r="C122" s="4">
        <v>44896</v>
      </c>
      <c r="D122" t="s">
        <v>12</v>
      </c>
      <c r="E122" s="3">
        <v>2.95</v>
      </c>
      <c r="F122" s="3" t="s">
        <v>10</v>
      </c>
      <c r="G122" s="3" t="s">
        <v>16</v>
      </c>
      <c r="H122" t="s">
        <v>19</v>
      </c>
      <c r="I122">
        <v>678</v>
      </c>
      <c r="J122" t="e" vm="6">
        <v>#VALUE!</v>
      </c>
      <c r="K122" t="e" cm="1" vm="1">
        <f t="array" aca="1" ref="K122" ca="1">_FV(Tabella2[[#This Row],[City]],"Paese/area geografica",TRUE)</f>
        <v>#VALUE!</v>
      </c>
      <c r="L122">
        <f>Tabella2[[#This Row],[Quantity]]*Tabella2[[#This Row],[Price]]</f>
        <v>2000.1000000000001</v>
      </c>
    </row>
    <row r="123" spans="2:12" x14ac:dyDescent="0.3">
      <c r="B123" s="3">
        <v>10574</v>
      </c>
      <c r="C123" s="4">
        <v>44896</v>
      </c>
      <c r="D123" t="s">
        <v>13</v>
      </c>
      <c r="E123" s="3">
        <v>4.99</v>
      </c>
      <c r="F123" s="3" t="s">
        <v>10</v>
      </c>
      <c r="G123" s="3" t="s">
        <v>16</v>
      </c>
      <c r="H123" t="s">
        <v>19</v>
      </c>
      <c r="I123">
        <v>201</v>
      </c>
      <c r="J123" t="e" vm="6">
        <v>#VALUE!</v>
      </c>
      <c r="K123" t="e" cm="1" vm="1">
        <f t="array" aca="1" ref="K123" ca="1">_FV(Tabella2[[#This Row],[City]],"Paese/area geografica",TRUE)</f>
        <v>#VALUE!</v>
      </c>
      <c r="L123">
        <f>Tabella2[[#This Row],[Quantity]]*Tabella2[[#This Row],[Price]]</f>
        <v>1002.99</v>
      </c>
    </row>
    <row r="124" spans="2:12" x14ac:dyDescent="0.3">
      <c r="B124" s="3">
        <v>10575</v>
      </c>
      <c r="C124" s="4">
        <v>44897</v>
      </c>
      <c r="D124" t="s">
        <v>15</v>
      </c>
      <c r="E124" s="3">
        <v>12.99</v>
      </c>
      <c r="F124" s="3" t="s">
        <v>10</v>
      </c>
      <c r="G124" s="3" t="s">
        <v>16</v>
      </c>
      <c r="H124" t="s">
        <v>19</v>
      </c>
      <c r="I124">
        <v>524</v>
      </c>
      <c r="J124" t="e" vm="6">
        <v>#VALUE!</v>
      </c>
      <c r="K124" t="e" cm="1" vm="1">
        <f t="array" aca="1" ref="K124" ca="1">_FV(Tabella2[[#This Row],[City]],"Paese/area geografica",TRUE)</f>
        <v>#VALUE!</v>
      </c>
      <c r="L124">
        <f>Tabella2[[#This Row],[Quantity]]*Tabella2[[#This Row],[Price]]</f>
        <v>6806.76</v>
      </c>
    </row>
    <row r="125" spans="2:12" x14ac:dyDescent="0.3">
      <c r="B125" s="3">
        <v>10576</v>
      </c>
      <c r="C125" s="4">
        <v>44897</v>
      </c>
      <c r="D125" t="s">
        <v>18</v>
      </c>
      <c r="E125" s="3">
        <v>9.9499999999999993</v>
      </c>
      <c r="F125" s="3" t="s">
        <v>10</v>
      </c>
      <c r="G125" s="3" t="s">
        <v>16</v>
      </c>
      <c r="H125" t="s">
        <v>19</v>
      </c>
      <c r="I125">
        <v>202</v>
      </c>
      <c r="J125" t="e" vm="6">
        <v>#VALUE!</v>
      </c>
      <c r="K125" t="e" cm="1" vm="1">
        <f t="array" aca="1" ref="K125" ca="1">_FV(Tabella2[[#This Row],[City]],"Paese/area geografica",TRUE)</f>
        <v>#VALUE!</v>
      </c>
      <c r="L125">
        <f>Tabella2[[#This Row],[Quantity]]*Tabella2[[#This Row],[Price]]</f>
        <v>2009.8999999999999</v>
      </c>
    </row>
    <row r="126" spans="2:12" x14ac:dyDescent="0.3">
      <c r="B126" s="3">
        <v>10577</v>
      </c>
      <c r="C126" s="4">
        <v>44897</v>
      </c>
      <c r="D126" t="s">
        <v>9</v>
      </c>
      <c r="E126" s="3">
        <v>3.49</v>
      </c>
      <c r="F126" s="3" t="s">
        <v>10</v>
      </c>
      <c r="G126" s="3" t="s">
        <v>16</v>
      </c>
      <c r="H126" t="s">
        <v>19</v>
      </c>
      <c r="I126">
        <v>631</v>
      </c>
      <c r="J126" t="e" vm="6">
        <v>#VALUE!</v>
      </c>
      <c r="K126" t="e" cm="1" vm="1">
        <f t="array" aca="1" ref="K126" ca="1">_FV(Tabella2[[#This Row],[City]],"Paese/area geografica",TRUE)</f>
        <v>#VALUE!</v>
      </c>
      <c r="L126">
        <f>Tabella2[[#This Row],[Quantity]]*Tabella2[[#This Row],[Price]]</f>
        <v>2202.19</v>
      </c>
    </row>
    <row r="127" spans="2:12" x14ac:dyDescent="0.3">
      <c r="B127" s="3">
        <v>10578</v>
      </c>
      <c r="C127" s="4">
        <v>44897</v>
      </c>
      <c r="D127" t="s">
        <v>12</v>
      </c>
      <c r="E127" s="3">
        <v>2.95</v>
      </c>
      <c r="F127" s="3" t="s">
        <v>10</v>
      </c>
      <c r="G127" s="3" t="s">
        <v>16</v>
      </c>
      <c r="H127" t="s">
        <v>19</v>
      </c>
      <c r="I127">
        <v>678</v>
      </c>
      <c r="J127" t="e" vm="6">
        <v>#VALUE!</v>
      </c>
      <c r="K127" t="e" cm="1" vm="1">
        <f t="array" aca="1" ref="K127" ca="1">_FV(Tabella2[[#This Row],[City]],"Paese/area geografica",TRUE)</f>
        <v>#VALUE!</v>
      </c>
      <c r="L127">
        <f>Tabella2[[#This Row],[Quantity]]*Tabella2[[#This Row],[Price]]</f>
        <v>2000.1000000000001</v>
      </c>
    </row>
    <row r="128" spans="2:12" x14ac:dyDescent="0.3">
      <c r="B128" s="3">
        <v>10579</v>
      </c>
      <c r="C128" s="4">
        <v>44897</v>
      </c>
      <c r="D128" t="s">
        <v>13</v>
      </c>
      <c r="E128" s="3">
        <v>4.99</v>
      </c>
      <c r="F128" s="3" t="s">
        <v>10</v>
      </c>
      <c r="G128" s="3" t="s">
        <v>16</v>
      </c>
      <c r="H128" t="s">
        <v>19</v>
      </c>
      <c r="I128">
        <v>201</v>
      </c>
      <c r="J128" t="e" vm="6">
        <v>#VALUE!</v>
      </c>
      <c r="K128" t="e" cm="1" vm="1">
        <f t="array" aca="1" ref="K128" ca="1">_FV(Tabella2[[#This Row],[City]],"Paese/area geografica",TRUE)</f>
        <v>#VALUE!</v>
      </c>
      <c r="L128">
        <f>Tabella2[[#This Row],[Quantity]]*Tabella2[[#This Row],[Price]]</f>
        <v>1002.99</v>
      </c>
    </row>
    <row r="129" spans="2:12" x14ac:dyDescent="0.3">
      <c r="B129" s="3">
        <v>10580</v>
      </c>
      <c r="C129" s="4">
        <v>44898</v>
      </c>
      <c r="D129" t="s">
        <v>15</v>
      </c>
      <c r="E129" s="3">
        <v>12.99</v>
      </c>
      <c r="F129" s="3" t="s">
        <v>10</v>
      </c>
      <c r="G129" s="3" t="s">
        <v>16</v>
      </c>
      <c r="H129" t="s">
        <v>19</v>
      </c>
      <c r="I129">
        <v>524</v>
      </c>
      <c r="J129" t="e" vm="6">
        <v>#VALUE!</v>
      </c>
      <c r="K129" t="e" cm="1" vm="1">
        <f t="array" aca="1" ref="K129" ca="1">_FV(Tabella2[[#This Row],[City]],"Paese/area geografica",TRUE)</f>
        <v>#VALUE!</v>
      </c>
      <c r="L129">
        <f>Tabella2[[#This Row],[Quantity]]*Tabella2[[#This Row],[Price]]</f>
        <v>6806.76</v>
      </c>
    </row>
    <row r="130" spans="2:12" x14ac:dyDescent="0.3">
      <c r="B130" s="3">
        <v>10581</v>
      </c>
      <c r="C130" s="4">
        <v>44898</v>
      </c>
      <c r="D130" t="s">
        <v>18</v>
      </c>
      <c r="E130" s="3">
        <v>9.9499999999999993</v>
      </c>
      <c r="F130" s="3" t="s">
        <v>10</v>
      </c>
      <c r="G130" s="3" t="s">
        <v>16</v>
      </c>
      <c r="H130" t="s">
        <v>19</v>
      </c>
      <c r="I130">
        <v>202</v>
      </c>
      <c r="J130" t="e" vm="6">
        <v>#VALUE!</v>
      </c>
      <c r="K130" t="e" cm="1" vm="1">
        <f t="array" aca="1" ref="K130" ca="1">_FV(Tabella2[[#This Row],[City]],"Paese/area geografica",TRUE)</f>
        <v>#VALUE!</v>
      </c>
      <c r="L130">
        <f>Tabella2[[#This Row],[Quantity]]*Tabella2[[#This Row],[Price]]</f>
        <v>2009.8999999999999</v>
      </c>
    </row>
    <row r="131" spans="2:12" x14ac:dyDescent="0.3">
      <c r="B131" s="3">
        <v>10582</v>
      </c>
      <c r="C131" s="4">
        <v>44898</v>
      </c>
      <c r="D131" t="s">
        <v>9</v>
      </c>
      <c r="E131" s="3">
        <v>3.49</v>
      </c>
      <c r="F131" s="3" t="s">
        <v>10</v>
      </c>
      <c r="G131" s="3" t="s">
        <v>16</v>
      </c>
      <c r="H131" t="s">
        <v>24</v>
      </c>
      <c r="I131">
        <v>631</v>
      </c>
      <c r="J131" t="e" vm="7">
        <v>#VALUE!</v>
      </c>
      <c r="K131" t="e" cm="1" vm="3">
        <f t="array" aca="1" ref="K131" ca="1">_FV(Tabella2[[#This Row],[City]],"Paese/area geografica",TRUE)</f>
        <v>#VALUE!</v>
      </c>
      <c r="L131">
        <f>Tabella2[[#This Row],[Quantity]]*Tabella2[[#This Row],[Price]]</f>
        <v>2202.19</v>
      </c>
    </row>
    <row r="132" spans="2:12" x14ac:dyDescent="0.3">
      <c r="B132" s="3">
        <v>10583</v>
      </c>
      <c r="C132" s="4">
        <v>44898</v>
      </c>
      <c r="D132" t="s">
        <v>12</v>
      </c>
      <c r="E132" s="3">
        <v>2.95</v>
      </c>
      <c r="F132" s="3" t="s">
        <v>10</v>
      </c>
      <c r="G132" s="3" t="s">
        <v>16</v>
      </c>
      <c r="H132" t="s">
        <v>24</v>
      </c>
      <c r="I132">
        <v>678</v>
      </c>
      <c r="J132" t="e" vm="7">
        <v>#VALUE!</v>
      </c>
      <c r="K132" t="e" cm="1" vm="3">
        <f t="array" aca="1" ref="K132" ca="1">_FV(Tabella2[[#This Row],[City]],"Paese/area geografica",TRUE)</f>
        <v>#VALUE!</v>
      </c>
      <c r="L132">
        <f>Tabella2[[#This Row],[Quantity]]*Tabella2[[#This Row],[Price]]</f>
        <v>2000.1000000000001</v>
      </c>
    </row>
    <row r="133" spans="2:12" x14ac:dyDescent="0.3">
      <c r="B133" s="3">
        <v>10584</v>
      </c>
      <c r="C133" s="4">
        <v>44898</v>
      </c>
      <c r="D133" t="s">
        <v>13</v>
      </c>
      <c r="E133" s="3">
        <v>4.99</v>
      </c>
      <c r="F133" s="3" t="s">
        <v>10</v>
      </c>
      <c r="G133" s="3" t="s">
        <v>16</v>
      </c>
      <c r="H133" t="s">
        <v>24</v>
      </c>
      <c r="I133">
        <v>201</v>
      </c>
      <c r="J133" t="e" vm="7">
        <v>#VALUE!</v>
      </c>
      <c r="K133" t="e" cm="1" vm="3">
        <f t="array" aca="1" ref="K133" ca="1">_FV(Tabella2[[#This Row],[City]],"Paese/area geografica",TRUE)</f>
        <v>#VALUE!</v>
      </c>
      <c r="L133">
        <f>Tabella2[[#This Row],[Quantity]]*Tabella2[[#This Row],[Price]]</f>
        <v>1002.99</v>
      </c>
    </row>
    <row r="134" spans="2:12" x14ac:dyDescent="0.3">
      <c r="B134" s="3">
        <v>10585</v>
      </c>
      <c r="C134" s="4">
        <v>44899</v>
      </c>
      <c r="D134" t="s">
        <v>15</v>
      </c>
      <c r="E134" s="3">
        <v>12.99</v>
      </c>
      <c r="F134" s="3" t="s">
        <v>10</v>
      </c>
      <c r="G134" s="3" t="s">
        <v>16</v>
      </c>
      <c r="H134" t="s">
        <v>24</v>
      </c>
      <c r="I134">
        <v>539</v>
      </c>
      <c r="J134" t="e" vm="7">
        <v>#VALUE!</v>
      </c>
      <c r="K134" t="e" cm="1" vm="3">
        <f t="array" aca="1" ref="K134" ca="1">_FV(Tabella2[[#This Row],[City]],"Paese/area geografica",TRUE)</f>
        <v>#VALUE!</v>
      </c>
      <c r="L134">
        <f>Tabella2[[#This Row],[Quantity]]*Tabella2[[#This Row],[Price]]</f>
        <v>7001.61</v>
      </c>
    </row>
    <row r="135" spans="2:12" x14ac:dyDescent="0.3">
      <c r="B135" s="3">
        <v>10586</v>
      </c>
      <c r="C135" s="4">
        <v>44899</v>
      </c>
      <c r="D135" t="s">
        <v>18</v>
      </c>
      <c r="E135" s="3">
        <v>9.9499999999999993</v>
      </c>
      <c r="F135" s="3" t="s">
        <v>10</v>
      </c>
      <c r="G135" s="3" t="s">
        <v>16</v>
      </c>
      <c r="H135" t="s">
        <v>24</v>
      </c>
      <c r="I135">
        <v>202</v>
      </c>
      <c r="J135" t="e" vm="7">
        <v>#VALUE!</v>
      </c>
      <c r="K135" t="e" cm="1" vm="3">
        <f t="array" aca="1" ref="K135" ca="1">_FV(Tabella2[[#This Row],[City]],"Paese/area geografica",TRUE)</f>
        <v>#VALUE!</v>
      </c>
      <c r="L135">
        <f>Tabella2[[#This Row],[Quantity]]*Tabella2[[#This Row],[Price]]</f>
        <v>2009.8999999999999</v>
      </c>
    </row>
    <row r="136" spans="2:12" x14ac:dyDescent="0.3">
      <c r="B136" s="3">
        <v>10590</v>
      </c>
      <c r="C136" s="4">
        <v>44900</v>
      </c>
      <c r="D136" t="s">
        <v>15</v>
      </c>
      <c r="E136" s="3">
        <v>12.99</v>
      </c>
      <c r="F136" s="3" t="s">
        <v>10</v>
      </c>
      <c r="G136" s="3" t="s">
        <v>16</v>
      </c>
      <c r="H136" t="s">
        <v>24</v>
      </c>
      <c r="I136">
        <v>555</v>
      </c>
      <c r="J136" t="e" vm="7">
        <v>#VALUE!</v>
      </c>
      <c r="K136" t="e" cm="1" vm="3">
        <f t="array" aca="1" ref="K136" ca="1">_FV(Tabella2[[#This Row],[City]],"Paese/area geografica",TRUE)</f>
        <v>#VALUE!</v>
      </c>
      <c r="L136">
        <f>Tabella2[[#This Row],[Quantity]]*Tabella2[[#This Row],[Price]]</f>
        <v>7209.45</v>
      </c>
    </row>
    <row r="137" spans="2:12" x14ac:dyDescent="0.3">
      <c r="B137" s="3">
        <v>10591</v>
      </c>
      <c r="C137" s="4">
        <v>44900</v>
      </c>
      <c r="D137" t="s">
        <v>18</v>
      </c>
      <c r="E137" s="3">
        <v>9.9499999999999993</v>
      </c>
      <c r="F137" s="3" t="s">
        <v>10</v>
      </c>
      <c r="G137" s="3" t="s">
        <v>16</v>
      </c>
      <c r="H137" t="s">
        <v>24</v>
      </c>
      <c r="I137">
        <v>202</v>
      </c>
      <c r="J137" t="e" vm="7">
        <v>#VALUE!</v>
      </c>
      <c r="K137" t="e" cm="1" vm="3">
        <f t="array" aca="1" ref="K137" ca="1">_FV(Tabella2[[#This Row],[City]],"Paese/area geografica",TRUE)</f>
        <v>#VALUE!</v>
      </c>
      <c r="L137">
        <f>Tabella2[[#This Row],[Quantity]]*Tabella2[[#This Row],[Price]]</f>
        <v>2009.8999999999999</v>
      </c>
    </row>
    <row r="138" spans="2:12" x14ac:dyDescent="0.3">
      <c r="B138" s="3">
        <v>10592</v>
      </c>
      <c r="C138" s="4">
        <v>44900</v>
      </c>
      <c r="D138" t="s">
        <v>9</v>
      </c>
      <c r="E138" s="3">
        <v>3.49</v>
      </c>
      <c r="F138" s="3" t="s">
        <v>10</v>
      </c>
      <c r="G138" s="3" t="s">
        <v>16</v>
      </c>
      <c r="H138" t="s">
        <v>24</v>
      </c>
      <c r="I138">
        <v>574</v>
      </c>
      <c r="J138" t="e" vm="7">
        <v>#VALUE!</v>
      </c>
      <c r="K138" t="e" cm="1" vm="3">
        <f t="array" aca="1" ref="K138" ca="1">_FV(Tabella2[[#This Row],[City]],"Paese/area geografica",TRUE)</f>
        <v>#VALUE!</v>
      </c>
      <c r="L138">
        <f>Tabella2[[#This Row],[Quantity]]*Tabella2[[#This Row],[Price]]</f>
        <v>2003.2600000000002</v>
      </c>
    </row>
    <row r="139" spans="2:12" x14ac:dyDescent="0.3">
      <c r="B139" s="3">
        <v>10593</v>
      </c>
      <c r="C139" s="4">
        <v>44900</v>
      </c>
      <c r="D139" t="s">
        <v>12</v>
      </c>
      <c r="E139" s="3">
        <v>2.95</v>
      </c>
      <c r="F139" s="3" t="s">
        <v>10</v>
      </c>
      <c r="G139" s="3" t="s">
        <v>16</v>
      </c>
      <c r="H139" t="s">
        <v>24</v>
      </c>
      <c r="I139">
        <v>678</v>
      </c>
      <c r="J139" t="e" vm="7">
        <v>#VALUE!</v>
      </c>
      <c r="K139" t="e" cm="1" vm="3">
        <f t="array" aca="1" ref="K139" ca="1">_FV(Tabella2[[#This Row],[City]],"Paese/area geografica",TRUE)</f>
        <v>#VALUE!</v>
      </c>
      <c r="L139">
        <f>Tabella2[[#This Row],[Quantity]]*Tabella2[[#This Row],[Price]]</f>
        <v>2000.1000000000001</v>
      </c>
    </row>
    <row r="140" spans="2:12" x14ac:dyDescent="0.3">
      <c r="B140" s="3">
        <v>10594</v>
      </c>
      <c r="C140" s="4">
        <v>44900</v>
      </c>
      <c r="D140" t="s">
        <v>13</v>
      </c>
      <c r="E140" s="3">
        <v>4.99</v>
      </c>
      <c r="F140" s="3" t="s">
        <v>10</v>
      </c>
      <c r="G140" s="3" t="s">
        <v>16</v>
      </c>
      <c r="H140" t="s">
        <v>24</v>
      </c>
      <c r="I140">
        <v>201</v>
      </c>
      <c r="J140" t="e" vm="7">
        <v>#VALUE!</v>
      </c>
      <c r="K140" t="e" cm="1" vm="3">
        <f t="array" aca="1" ref="K140" ca="1">_FV(Tabella2[[#This Row],[City]],"Paese/area geografica",TRUE)</f>
        <v>#VALUE!</v>
      </c>
      <c r="L140">
        <f>Tabella2[[#This Row],[Quantity]]*Tabella2[[#This Row],[Price]]</f>
        <v>1002.99</v>
      </c>
    </row>
    <row r="141" spans="2:12" x14ac:dyDescent="0.3">
      <c r="B141" s="3">
        <v>10595</v>
      </c>
      <c r="C141" s="4">
        <v>44901</v>
      </c>
      <c r="D141" t="s">
        <v>15</v>
      </c>
      <c r="E141" s="3">
        <v>12.99</v>
      </c>
      <c r="F141" s="3" t="s">
        <v>10</v>
      </c>
      <c r="G141" s="3" t="s">
        <v>16</v>
      </c>
      <c r="H141" t="s">
        <v>24</v>
      </c>
      <c r="I141">
        <v>539</v>
      </c>
      <c r="J141" t="e" vm="7">
        <v>#VALUE!</v>
      </c>
      <c r="K141" t="e" cm="1" vm="3">
        <f t="array" aca="1" ref="K141" ca="1">_FV(Tabella2[[#This Row],[City]],"Paese/area geografica",TRUE)</f>
        <v>#VALUE!</v>
      </c>
      <c r="L141">
        <f>Tabella2[[#This Row],[Quantity]]*Tabella2[[#This Row],[Price]]</f>
        <v>7001.61</v>
      </c>
    </row>
    <row r="142" spans="2:12" x14ac:dyDescent="0.3">
      <c r="B142" s="3">
        <v>10596</v>
      </c>
      <c r="C142" s="4">
        <v>44901</v>
      </c>
      <c r="D142" t="s">
        <v>18</v>
      </c>
      <c r="E142" s="3">
        <v>9.9499999999999993</v>
      </c>
      <c r="F142" s="3" t="s">
        <v>10</v>
      </c>
      <c r="G142" s="3" t="s">
        <v>16</v>
      </c>
      <c r="H142" t="s">
        <v>24</v>
      </c>
      <c r="I142">
        <v>202</v>
      </c>
      <c r="J142" t="e" vm="7">
        <v>#VALUE!</v>
      </c>
      <c r="K142" t="e" cm="1" vm="3">
        <f t="array" aca="1" ref="K142" ca="1">_FV(Tabella2[[#This Row],[City]],"Paese/area geografica",TRUE)</f>
        <v>#VALUE!</v>
      </c>
      <c r="L142">
        <f>Tabella2[[#This Row],[Quantity]]*Tabella2[[#This Row],[Price]]</f>
        <v>2009.8999999999999</v>
      </c>
    </row>
    <row r="143" spans="2:12" x14ac:dyDescent="0.3">
      <c r="B143" s="3">
        <v>10597</v>
      </c>
      <c r="C143" s="4">
        <v>44901</v>
      </c>
      <c r="D143" t="s">
        <v>9</v>
      </c>
      <c r="E143" s="3">
        <v>3.49</v>
      </c>
      <c r="F143" s="3" t="s">
        <v>10</v>
      </c>
      <c r="G143" s="3" t="s">
        <v>16</v>
      </c>
      <c r="H143" t="s">
        <v>24</v>
      </c>
      <c r="I143">
        <v>574</v>
      </c>
      <c r="J143" t="e" vm="7">
        <v>#VALUE!</v>
      </c>
      <c r="K143" t="e" cm="1" vm="3">
        <f t="array" aca="1" ref="K143" ca="1">_FV(Tabella2[[#This Row],[City]],"Paese/area geografica",TRUE)</f>
        <v>#VALUE!</v>
      </c>
      <c r="L143">
        <f>Tabella2[[#This Row],[Quantity]]*Tabella2[[#This Row],[Price]]</f>
        <v>2003.2600000000002</v>
      </c>
    </row>
    <row r="144" spans="2:12" x14ac:dyDescent="0.3">
      <c r="B144" s="3">
        <v>10598</v>
      </c>
      <c r="C144" s="4">
        <v>44901</v>
      </c>
      <c r="D144" t="s">
        <v>12</v>
      </c>
      <c r="E144" s="3">
        <v>2.95</v>
      </c>
      <c r="F144" s="3" t="s">
        <v>10</v>
      </c>
      <c r="G144" s="3" t="s">
        <v>16</v>
      </c>
      <c r="H144" t="s">
        <v>24</v>
      </c>
      <c r="I144">
        <v>678</v>
      </c>
      <c r="J144" t="e" vm="7">
        <v>#VALUE!</v>
      </c>
      <c r="K144" t="e" cm="1" vm="3">
        <f t="array" aca="1" ref="K144" ca="1">_FV(Tabella2[[#This Row],[City]],"Paese/area geografica",TRUE)</f>
        <v>#VALUE!</v>
      </c>
      <c r="L144">
        <f>Tabella2[[#This Row],[Quantity]]*Tabella2[[#This Row],[Price]]</f>
        <v>2000.1000000000001</v>
      </c>
    </row>
    <row r="145" spans="2:12" x14ac:dyDescent="0.3">
      <c r="B145" s="3">
        <v>10599</v>
      </c>
      <c r="C145" s="4">
        <v>44901</v>
      </c>
      <c r="D145" t="s">
        <v>13</v>
      </c>
      <c r="E145" s="3">
        <v>4.99</v>
      </c>
      <c r="F145" s="3" t="s">
        <v>10</v>
      </c>
      <c r="G145" s="3" t="s">
        <v>16</v>
      </c>
      <c r="H145" t="s">
        <v>24</v>
      </c>
      <c r="I145">
        <v>201</v>
      </c>
      <c r="J145" t="e" vm="7">
        <v>#VALUE!</v>
      </c>
      <c r="K145" t="e" cm="1" vm="3">
        <f t="array" aca="1" ref="K145" ca="1">_FV(Tabella2[[#This Row],[City]],"Paese/area geografica",TRUE)</f>
        <v>#VALUE!</v>
      </c>
      <c r="L145">
        <f>Tabella2[[#This Row],[Quantity]]*Tabella2[[#This Row],[Price]]</f>
        <v>1002.99</v>
      </c>
    </row>
    <row r="146" spans="2:12" x14ac:dyDescent="0.3">
      <c r="B146" s="3">
        <v>10600</v>
      </c>
      <c r="C146" s="4">
        <v>44902</v>
      </c>
      <c r="D146" t="s">
        <v>15</v>
      </c>
      <c r="E146" s="3">
        <v>12.99</v>
      </c>
      <c r="F146" s="3" t="s">
        <v>10</v>
      </c>
      <c r="G146" s="3" t="s">
        <v>16</v>
      </c>
      <c r="H146" t="s">
        <v>24</v>
      </c>
      <c r="I146">
        <v>524</v>
      </c>
      <c r="J146" t="e" vm="7">
        <v>#VALUE!</v>
      </c>
      <c r="K146" t="e" cm="1" vm="3">
        <f t="array" aca="1" ref="K146" ca="1">_FV(Tabella2[[#This Row],[City]],"Paese/area geografica",TRUE)</f>
        <v>#VALUE!</v>
      </c>
      <c r="L146">
        <f>Tabella2[[#This Row],[Quantity]]*Tabella2[[#This Row],[Price]]</f>
        <v>6806.76</v>
      </c>
    </row>
    <row r="147" spans="2:12" x14ac:dyDescent="0.3">
      <c r="B147" s="3">
        <v>10601</v>
      </c>
      <c r="C147" s="4">
        <v>44902</v>
      </c>
      <c r="D147" t="s">
        <v>18</v>
      </c>
      <c r="E147" s="3">
        <v>9.9499999999999993</v>
      </c>
      <c r="F147" s="3" t="s">
        <v>10</v>
      </c>
      <c r="G147" s="3" t="s">
        <v>16</v>
      </c>
      <c r="H147" t="s">
        <v>24</v>
      </c>
      <c r="I147">
        <v>202</v>
      </c>
      <c r="J147" t="e" vm="7">
        <v>#VALUE!</v>
      </c>
      <c r="K147" t="e" cm="1" vm="3">
        <f t="array" aca="1" ref="K147" ca="1">_FV(Tabella2[[#This Row],[City]],"Paese/area geografica",TRUE)</f>
        <v>#VALUE!</v>
      </c>
      <c r="L147">
        <f>Tabella2[[#This Row],[Quantity]]*Tabella2[[#This Row],[Price]]</f>
        <v>2009.8999999999999</v>
      </c>
    </row>
    <row r="148" spans="2:12" x14ac:dyDescent="0.3">
      <c r="B148" s="3">
        <v>10602</v>
      </c>
      <c r="C148" s="4">
        <v>44902</v>
      </c>
      <c r="D148" t="s">
        <v>9</v>
      </c>
      <c r="E148" s="3">
        <v>3.49</v>
      </c>
      <c r="F148" s="3" t="s">
        <v>10</v>
      </c>
      <c r="G148" s="3" t="s">
        <v>23</v>
      </c>
      <c r="H148" t="s">
        <v>24</v>
      </c>
      <c r="I148">
        <v>631</v>
      </c>
      <c r="J148" t="e" vm="7">
        <v>#VALUE!</v>
      </c>
      <c r="K148" t="e" cm="1" vm="3">
        <f t="array" aca="1" ref="K148" ca="1">_FV(Tabella2[[#This Row],[City]],"Paese/area geografica",TRUE)</f>
        <v>#VALUE!</v>
      </c>
      <c r="L148">
        <f>Tabella2[[#This Row],[Quantity]]*Tabella2[[#This Row],[Price]]</f>
        <v>2202.19</v>
      </c>
    </row>
    <row r="149" spans="2:12" x14ac:dyDescent="0.3">
      <c r="B149" s="3">
        <v>10603</v>
      </c>
      <c r="C149" s="4">
        <v>44902</v>
      </c>
      <c r="D149" t="s">
        <v>12</v>
      </c>
      <c r="E149" s="3">
        <v>2.95</v>
      </c>
      <c r="F149" s="3" t="s">
        <v>10</v>
      </c>
      <c r="G149" s="3" t="s">
        <v>23</v>
      </c>
      <c r="H149" t="s">
        <v>24</v>
      </c>
      <c r="I149">
        <v>678</v>
      </c>
      <c r="J149" t="e" vm="7">
        <v>#VALUE!</v>
      </c>
      <c r="K149" t="e" cm="1" vm="3">
        <f t="array" aca="1" ref="K149" ca="1">_FV(Tabella2[[#This Row],[City]],"Paese/area geografica",TRUE)</f>
        <v>#VALUE!</v>
      </c>
      <c r="L149">
        <f>Tabella2[[#This Row],[Quantity]]*Tabella2[[#This Row],[Price]]</f>
        <v>2000.1000000000001</v>
      </c>
    </row>
    <row r="150" spans="2:12" x14ac:dyDescent="0.3">
      <c r="B150" s="3">
        <v>10604</v>
      </c>
      <c r="C150" s="4">
        <v>44902</v>
      </c>
      <c r="D150" t="s">
        <v>13</v>
      </c>
      <c r="E150" s="3">
        <v>4.99</v>
      </c>
      <c r="F150" s="3" t="s">
        <v>10</v>
      </c>
      <c r="G150" s="3" t="s">
        <v>23</v>
      </c>
      <c r="H150" t="s">
        <v>24</v>
      </c>
      <c r="I150">
        <v>201</v>
      </c>
      <c r="J150" t="e" vm="7">
        <v>#VALUE!</v>
      </c>
      <c r="K150" t="e" cm="1" vm="3">
        <f t="array" aca="1" ref="K150" ca="1">_FV(Tabella2[[#This Row],[City]],"Paese/area geografica",TRUE)</f>
        <v>#VALUE!</v>
      </c>
      <c r="L150">
        <f>Tabella2[[#This Row],[Quantity]]*Tabella2[[#This Row],[Price]]</f>
        <v>1002.99</v>
      </c>
    </row>
    <row r="151" spans="2:12" x14ac:dyDescent="0.3">
      <c r="B151" s="3">
        <v>10605</v>
      </c>
      <c r="C151" s="4">
        <v>44903</v>
      </c>
      <c r="D151" t="s">
        <v>15</v>
      </c>
      <c r="E151" s="3">
        <v>12.99</v>
      </c>
      <c r="F151" s="3" t="s">
        <v>10</v>
      </c>
      <c r="G151" s="3" t="s">
        <v>23</v>
      </c>
      <c r="H151" t="s">
        <v>24</v>
      </c>
      <c r="I151">
        <v>539</v>
      </c>
      <c r="J151" t="e" vm="7">
        <v>#VALUE!</v>
      </c>
      <c r="K151" t="e" cm="1" vm="3">
        <f t="array" aca="1" ref="K151" ca="1">_FV(Tabella2[[#This Row],[City]],"Paese/area geografica",TRUE)</f>
        <v>#VALUE!</v>
      </c>
      <c r="L151">
        <f>Tabella2[[#This Row],[Quantity]]*Tabella2[[#This Row],[Price]]</f>
        <v>7001.61</v>
      </c>
    </row>
    <row r="152" spans="2:12" x14ac:dyDescent="0.3">
      <c r="B152" s="3">
        <v>10606</v>
      </c>
      <c r="C152" s="4">
        <v>44903</v>
      </c>
      <c r="D152" t="s">
        <v>18</v>
      </c>
      <c r="E152" s="3">
        <v>9.9499999999999993</v>
      </c>
      <c r="F152" s="3" t="s">
        <v>10</v>
      </c>
      <c r="G152" s="3" t="s">
        <v>23</v>
      </c>
      <c r="H152" t="s">
        <v>24</v>
      </c>
      <c r="I152">
        <v>202</v>
      </c>
      <c r="J152" t="e" vm="7">
        <v>#VALUE!</v>
      </c>
      <c r="K152" t="e" cm="1" vm="3">
        <f t="array" aca="1" ref="K152" ca="1">_FV(Tabella2[[#This Row],[City]],"Paese/area geografica",TRUE)</f>
        <v>#VALUE!</v>
      </c>
      <c r="L152">
        <f>Tabella2[[#This Row],[Quantity]]*Tabella2[[#This Row],[Price]]</f>
        <v>2009.8999999999999</v>
      </c>
    </row>
    <row r="153" spans="2:12" x14ac:dyDescent="0.3">
      <c r="B153" s="3">
        <v>10607</v>
      </c>
      <c r="C153" s="4">
        <v>44903</v>
      </c>
      <c r="D153" t="s">
        <v>9</v>
      </c>
      <c r="E153" s="3">
        <v>3.49</v>
      </c>
      <c r="F153" s="3" t="s">
        <v>10</v>
      </c>
      <c r="G153" s="3" t="s">
        <v>23</v>
      </c>
      <c r="H153" t="s">
        <v>24</v>
      </c>
      <c r="I153">
        <v>631</v>
      </c>
      <c r="J153" t="e" vm="7">
        <v>#VALUE!</v>
      </c>
      <c r="K153" t="e" cm="1" vm="3">
        <f t="array" aca="1" ref="K153" ca="1">_FV(Tabella2[[#This Row],[City]],"Paese/area geografica",TRUE)</f>
        <v>#VALUE!</v>
      </c>
      <c r="L153">
        <f>Tabella2[[#This Row],[Quantity]]*Tabella2[[#This Row],[Price]]</f>
        <v>2202.19</v>
      </c>
    </row>
    <row r="154" spans="2:12" x14ac:dyDescent="0.3">
      <c r="B154" s="3">
        <v>10608</v>
      </c>
      <c r="C154" s="4">
        <v>44903</v>
      </c>
      <c r="D154" t="s">
        <v>12</v>
      </c>
      <c r="E154" s="3">
        <v>2.95</v>
      </c>
      <c r="F154" s="3" t="s">
        <v>10</v>
      </c>
      <c r="G154" s="3" t="s">
        <v>11</v>
      </c>
      <c r="H154" t="s">
        <v>24</v>
      </c>
      <c r="I154">
        <v>678</v>
      </c>
      <c r="J154" t="e" vm="7">
        <v>#VALUE!</v>
      </c>
      <c r="K154" t="e" cm="1" vm="3">
        <f t="array" aca="1" ref="K154" ca="1">_FV(Tabella2[[#This Row],[City]],"Paese/area geografica",TRUE)</f>
        <v>#VALUE!</v>
      </c>
      <c r="L154">
        <f>Tabella2[[#This Row],[Quantity]]*Tabella2[[#This Row],[Price]]</f>
        <v>2000.1000000000001</v>
      </c>
    </row>
    <row r="155" spans="2:12" x14ac:dyDescent="0.3">
      <c r="B155" s="3">
        <v>10609</v>
      </c>
      <c r="C155" s="4">
        <v>44903</v>
      </c>
      <c r="D155" t="s">
        <v>13</v>
      </c>
      <c r="E155" s="3">
        <v>4.99</v>
      </c>
      <c r="F155" s="3" t="s">
        <v>10</v>
      </c>
      <c r="G155" s="3" t="s">
        <v>11</v>
      </c>
      <c r="H155" t="s">
        <v>24</v>
      </c>
      <c r="I155">
        <v>201</v>
      </c>
      <c r="J155" t="e" vm="7">
        <v>#VALUE!</v>
      </c>
      <c r="K155" t="e" cm="1" vm="3">
        <f t="array" aca="1" ref="K155" ca="1">_FV(Tabella2[[#This Row],[City]],"Paese/area geografica",TRUE)</f>
        <v>#VALUE!</v>
      </c>
      <c r="L155">
        <f>Tabella2[[#This Row],[Quantity]]*Tabella2[[#This Row],[Price]]</f>
        <v>1002.99</v>
      </c>
    </row>
    <row r="156" spans="2:12" x14ac:dyDescent="0.3">
      <c r="B156" s="3">
        <v>10610</v>
      </c>
      <c r="C156" s="4">
        <v>44904</v>
      </c>
      <c r="D156" t="s">
        <v>15</v>
      </c>
      <c r="E156" s="3">
        <v>12.99</v>
      </c>
      <c r="F156" s="3" t="s">
        <v>10</v>
      </c>
      <c r="G156" s="3" t="s">
        <v>11</v>
      </c>
      <c r="H156" t="s">
        <v>24</v>
      </c>
      <c r="I156">
        <v>570</v>
      </c>
      <c r="J156" t="e" vm="7">
        <v>#VALUE!</v>
      </c>
      <c r="K156" t="e" cm="1" vm="3">
        <f t="array" aca="1" ref="K156" ca="1">_FV(Tabella2[[#This Row],[City]],"Paese/area geografica",TRUE)</f>
        <v>#VALUE!</v>
      </c>
      <c r="L156">
        <f>Tabella2[[#This Row],[Quantity]]*Tabella2[[#This Row],[Price]]</f>
        <v>7404.3</v>
      </c>
    </row>
    <row r="157" spans="2:12" x14ac:dyDescent="0.3">
      <c r="B157" s="3">
        <v>10611</v>
      </c>
      <c r="C157" s="4">
        <v>44904</v>
      </c>
      <c r="D157" t="s">
        <v>18</v>
      </c>
      <c r="E157" s="3">
        <v>9.9499999999999993</v>
      </c>
      <c r="F157" s="3" t="s">
        <v>10</v>
      </c>
      <c r="G157" s="3" t="s">
        <v>11</v>
      </c>
      <c r="H157" t="s">
        <v>24</v>
      </c>
      <c r="I157">
        <v>202</v>
      </c>
      <c r="J157" t="e" vm="7">
        <v>#VALUE!</v>
      </c>
      <c r="K157" t="e" cm="1" vm="3">
        <f t="array" aca="1" ref="K157" ca="1">_FV(Tabella2[[#This Row],[City]],"Paese/area geografica",TRUE)</f>
        <v>#VALUE!</v>
      </c>
      <c r="L157">
        <f>Tabella2[[#This Row],[Quantity]]*Tabella2[[#This Row],[Price]]</f>
        <v>2009.8999999999999</v>
      </c>
    </row>
    <row r="158" spans="2:12" x14ac:dyDescent="0.3">
      <c r="B158" s="3">
        <v>10612</v>
      </c>
      <c r="C158" s="4">
        <v>44904</v>
      </c>
      <c r="D158" t="s">
        <v>9</v>
      </c>
      <c r="E158" s="3">
        <v>3.49</v>
      </c>
      <c r="F158" s="3" t="s">
        <v>10</v>
      </c>
      <c r="G158" s="3" t="s">
        <v>11</v>
      </c>
      <c r="H158" t="s">
        <v>24</v>
      </c>
      <c r="I158">
        <v>631</v>
      </c>
      <c r="J158" t="e" vm="7">
        <v>#VALUE!</v>
      </c>
      <c r="K158" t="e" cm="1" vm="3">
        <f t="array" aca="1" ref="K158" ca="1">_FV(Tabella2[[#This Row],[City]],"Paese/area geografica",TRUE)</f>
        <v>#VALUE!</v>
      </c>
      <c r="L158">
        <f>Tabella2[[#This Row],[Quantity]]*Tabella2[[#This Row],[Price]]</f>
        <v>2202.19</v>
      </c>
    </row>
    <row r="159" spans="2:12" x14ac:dyDescent="0.3">
      <c r="B159" s="3">
        <v>10613</v>
      </c>
      <c r="C159" s="4">
        <v>44904</v>
      </c>
      <c r="D159" t="s">
        <v>12</v>
      </c>
      <c r="E159" s="3">
        <v>2.95</v>
      </c>
      <c r="F159" s="3" t="s">
        <v>10</v>
      </c>
      <c r="G159" s="3" t="s">
        <v>11</v>
      </c>
      <c r="H159" t="s">
        <v>24</v>
      </c>
      <c r="I159">
        <v>678</v>
      </c>
      <c r="J159" t="e" vm="7">
        <v>#VALUE!</v>
      </c>
      <c r="K159" t="e" cm="1" vm="3">
        <f t="array" aca="1" ref="K159" ca="1">_FV(Tabella2[[#This Row],[City]],"Paese/area geografica",TRUE)</f>
        <v>#VALUE!</v>
      </c>
      <c r="L159">
        <f>Tabella2[[#This Row],[Quantity]]*Tabella2[[#This Row],[Price]]</f>
        <v>2000.1000000000001</v>
      </c>
    </row>
    <row r="160" spans="2:12" x14ac:dyDescent="0.3">
      <c r="B160" s="3">
        <v>10614</v>
      </c>
      <c r="C160" s="4">
        <v>44904</v>
      </c>
      <c r="D160" t="s">
        <v>13</v>
      </c>
      <c r="E160" s="3">
        <v>4.99</v>
      </c>
      <c r="F160" s="3" t="s">
        <v>10</v>
      </c>
      <c r="G160" s="3" t="s">
        <v>11</v>
      </c>
      <c r="H160" t="s">
        <v>24</v>
      </c>
      <c r="I160">
        <v>201</v>
      </c>
      <c r="J160" t="e" vm="7">
        <v>#VALUE!</v>
      </c>
      <c r="K160" t="e" cm="1" vm="3">
        <f t="array" aca="1" ref="K160" ca="1">_FV(Tabella2[[#This Row],[City]],"Paese/area geografica",TRUE)</f>
        <v>#VALUE!</v>
      </c>
      <c r="L160">
        <f>Tabella2[[#This Row],[Quantity]]*Tabella2[[#This Row],[Price]]</f>
        <v>1002.99</v>
      </c>
    </row>
    <row r="161" spans="2:12" x14ac:dyDescent="0.3">
      <c r="B161" s="3">
        <v>10615</v>
      </c>
      <c r="C161" s="4">
        <v>44905</v>
      </c>
      <c r="D161" t="s">
        <v>15</v>
      </c>
      <c r="E161" s="3">
        <v>12.99</v>
      </c>
      <c r="F161" s="3" t="s">
        <v>10</v>
      </c>
      <c r="G161" s="3" t="s">
        <v>11</v>
      </c>
      <c r="H161" t="s">
        <v>24</v>
      </c>
      <c r="I161">
        <v>570</v>
      </c>
      <c r="J161" t="e" vm="7">
        <v>#VALUE!</v>
      </c>
      <c r="K161" t="e" cm="1" vm="3">
        <f t="array" aca="1" ref="K161" ca="1">_FV(Tabella2[[#This Row],[City]],"Paese/area geografica",TRUE)</f>
        <v>#VALUE!</v>
      </c>
      <c r="L161">
        <f>Tabella2[[#This Row],[Quantity]]*Tabella2[[#This Row],[Price]]</f>
        <v>7404.3</v>
      </c>
    </row>
    <row r="162" spans="2:12" x14ac:dyDescent="0.3">
      <c r="B162" s="3">
        <v>10616</v>
      </c>
      <c r="C162" s="4">
        <v>44905</v>
      </c>
      <c r="D162" t="s">
        <v>18</v>
      </c>
      <c r="E162" s="3">
        <v>9.9499999999999993</v>
      </c>
      <c r="F162" s="3" t="s">
        <v>10</v>
      </c>
      <c r="G162" s="3" t="s">
        <v>11</v>
      </c>
      <c r="H162" t="s">
        <v>24</v>
      </c>
      <c r="I162">
        <v>202</v>
      </c>
      <c r="J162" t="e" vm="7">
        <v>#VALUE!</v>
      </c>
      <c r="K162" t="e" cm="1" vm="3">
        <f t="array" aca="1" ref="K162" ca="1">_FV(Tabella2[[#This Row],[City]],"Paese/area geografica",TRUE)</f>
        <v>#VALUE!</v>
      </c>
      <c r="L162">
        <f>Tabella2[[#This Row],[Quantity]]*Tabella2[[#This Row],[Price]]</f>
        <v>2009.8999999999999</v>
      </c>
    </row>
    <row r="163" spans="2:12" x14ac:dyDescent="0.3">
      <c r="B163" s="3">
        <v>10617</v>
      </c>
      <c r="C163" s="4">
        <v>44905</v>
      </c>
      <c r="D163" t="s">
        <v>9</v>
      </c>
      <c r="E163" s="3">
        <v>3.49</v>
      </c>
      <c r="F163" s="3" t="s">
        <v>10</v>
      </c>
      <c r="G163" s="3" t="s">
        <v>11</v>
      </c>
      <c r="H163" t="s">
        <v>24</v>
      </c>
      <c r="I163">
        <v>631</v>
      </c>
      <c r="J163" t="e" vm="7">
        <v>#VALUE!</v>
      </c>
      <c r="K163" t="e" cm="1" vm="3">
        <f t="array" aca="1" ref="K163" ca="1">_FV(Tabella2[[#This Row],[City]],"Paese/area geografica",TRUE)</f>
        <v>#VALUE!</v>
      </c>
      <c r="L163">
        <f>Tabella2[[#This Row],[Quantity]]*Tabella2[[#This Row],[Price]]</f>
        <v>2202.19</v>
      </c>
    </row>
    <row r="164" spans="2:12" x14ac:dyDescent="0.3">
      <c r="B164" s="3">
        <v>10618</v>
      </c>
      <c r="C164" s="4">
        <v>44905</v>
      </c>
      <c r="D164" t="s">
        <v>12</v>
      </c>
      <c r="E164" s="3">
        <v>2.95</v>
      </c>
      <c r="F164" s="3" t="s">
        <v>10</v>
      </c>
      <c r="G164" s="3" t="s">
        <v>11</v>
      </c>
      <c r="H164" t="s">
        <v>24</v>
      </c>
      <c r="I164">
        <v>678</v>
      </c>
      <c r="J164" t="e" vm="7">
        <v>#VALUE!</v>
      </c>
      <c r="K164" t="e" cm="1" vm="3">
        <f t="array" aca="1" ref="K164" ca="1">_FV(Tabella2[[#This Row],[City]],"Paese/area geografica",TRUE)</f>
        <v>#VALUE!</v>
      </c>
      <c r="L164">
        <f>Tabella2[[#This Row],[Quantity]]*Tabella2[[#This Row],[Price]]</f>
        <v>2000.1000000000001</v>
      </c>
    </row>
    <row r="165" spans="2:12" x14ac:dyDescent="0.3">
      <c r="B165" s="3">
        <v>10619</v>
      </c>
      <c r="C165" s="4">
        <v>44905</v>
      </c>
      <c r="D165" t="s">
        <v>13</v>
      </c>
      <c r="E165" s="3">
        <v>4.99</v>
      </c>
      <c r="F165" s="3" t="s">
        <v>10</v>
      </c>
      <c r="G165" s="3" t="s">
        <v>11</v>
      </c>
      <c r="H165" t="s">
        <v>24</v>
      </c>
      <c r="I165">
        <v>201</v>
      </c>
      <c r="J165" t="e" vm="7">
        <v>#VALUE!</v>
      </c>
      <c r="K165" t="e" cm="1" vm="3">
        <f t="array" aca="1" ref="K165" ca="1">_FV(Tabella2[[#This Row],[City]],"Paese/area geografica",TRUE)</f>
        <v>#VALUE!</v>
      </c>
      <c r="L165">
        <f>Tabella2[[#This Row],[Quantity]]*Tabella2[[#This Row],[Price]]</f>
        <v>1002.99</v>
      </c>
    </row>
    <row r="166" spans="2:12" x14ac:dyDescent="0.3">
      <c r="B166" s="3">
        <v>10620</v>
      </c>
      <c r="C166" s="4">
        <v>44906</v>
      </c>
      <c r="D166" t="s">
        <v>15</v>
      </c>
      <c r="E166" s="3">
        <v>12.99</v>
      </c>
      <c r="F166" s="3" t="s">
        <v>10</v>
      </c>
      <c r="G166" s="3" t="s">
        <v>11</v>
      </c>
      <c r="H166" t="s">
        <v>24</v>
      </c>
      <c r="I166">
        <v>586</v>
      </c>
      <c r="J166" t="e" vm="7">
        <v>#VALUE!</v>
      </c>
      <c r="K166" t="e" cm="1" vm="3">
        <f t="array" aca="1" ref="K166" ca="1">_FV(Tabella2[[#This Row],[City]],"Paese/area geografica",TRUE)</f>
        <v>#VALUE!</v>
      </c>
      <c r="L166">
        <f>Tabella2[[#This Row],[Quantity]]*Tabella2[[#This Row],[Price]]</f>
        <v>7612.14</v>
      </c>
    </row>
    <row r="167" spans="2:12" x14ac:dyDescent="0.3">
      <c r="B167" s="3">
        <v>10621</v>
      </c>
      <c r="C167" s="4">
        <v>44906</v>
      </c>
      <c r="D167" t="s">
        <v>18</v>
      </c>
      <c r="E167" s="3">
        <v>9.9499999999999993</v>
      </c>
      <c r="F167" s="3" t="s">
        <v>10</v>
      </c>
      <c r="G167" s="3" t="s">
        <v>11</v>
      </c>
      <c r="H167" t="s">
        <v>24</v>
      </c>
      <c r="I167">
        <v>202</v>
      </c>
      <c r="J167" t="e" vm="7">
        <v>#VALUE!</v>
      </c>
      <c r="K167" t="e" cm="1" vm="3">
        <f t="array" aca="1" ref="K167" ca="1">_FV(Tabella2[[#This Row],[City]],"Paese/area geografica",TRUE)</f>
        <v>#VALUE!</v>
      </c>
      <c r="L167">
        <f>Tabella2[[#This Row],[Quantity]]*Tabella2[[#This Row],[Price]]</f>
        <v>2009.8999999999999</v>
      </c>
    </row>
    <row r="168" spans="2:12" x14ac:dyDescent="0.3">
      <c r="B168" s="3">
        <v>10622</v>
      </c>
      <c r="C168" s="4">
        <v>44906</v>
      </c>
      <c r="D168" t="s">
        <v>9</v>
      </c>
      <c r="E168" s="3">
        <v>3.49</v>
      </c>
      <c r="F168" s="3" t="s">
        <v>10</v>
      </c>
      <c r="G168" s="3" t="s">
        <v>11</v>
      </c>
      <c r="H168" t="s">
        <v>24</v>
      </c>
      <c r="I168">
        <v>631</v>
      </c>
      <c r="J168" t="e" vm="7">
        <v>#VALUE!</v>
      </c>
      <c r="K168" t="e" cm="1" vm="3">
        <f t="array" aca="1" ref="K168" ca="1">_FV(Tabella2[[#This Row],[City]],"Paese/area geografica",TRUE)</f>
        <v>#VALUE!</v>
      </c>
      <c r="L168">
        <f>Tabella2[[#This Row],[Quantity]]*Tabella2[[#This Row],[Price]]</f>
        <v>2202.19</v>
      </c>
    </row>
    <row r="169" spans="2:12" x14ac:dyDescent="0.3">
      <c r="B169" s="3">
        <v>10623</v>
      </c>
      <c r="C169" s="4">
        <v>44906</v>
      </c>
      <c r="D169" t="s">
        <v>12</v>
      </c>
      <c r="E169" s="3">
        <v>2.95</v>
      </c>
      <c r="F169" s="3" t="s">
        <v>10</v>
      </c>
      <c r="G169" s="3" t="s">
        <v>11</v>
      </c>
      <c r="H169" t="s">
        <v>24</v>
      </c>
      <c r="I169">
        <v>746</v>
      </c>
      <c r="J169" t="e" vm="7">
        <v>#VALUE!</v>
      </c>
      <c r="K169" t="e" cm="1" vm="3">
        <f t="array" aca="1" ref="K169" ca="1">_FV(Tabella2[[#This Row],[City]],"Paese/area geografica",TRUE)</f>
        <v>#VALUE!</v>
      </c>
      <c r="L169">
        <f>Tabella2[[#This Row],[Quantity]]*Tabella2[[#This Row],[Price]]</f>
        <v>2200.7000000000003</v>
      </c>
    </row>
    <row r="170" spans="2:12" x14ac:dyDescent="0.3">
      <c r="B170" s="3">
        <v>10624</v>
      </c>
      <c r="C170" s="4">
        <v>44906</v>
      </c>
      <c r="D170" t="s">
        <v>13</v>
      </c>
      <c r="E170" s="3">
        <v>4.99</v>
      </c>
      <c r="F170" s="3" t="s">
        <v>10</v>
      </c>
      <c r="G170" s="3" t="s">
        <v>11</v>
      </c>
      <c r="H170" t="s">
        <v>24</v>
      </c>
      <c r="I170">
        <v>201</v>
      </c>
      <c r="J170" t="e" vm="7">
        <v>#VALUE!</v>
      </c>
      <c r="K170" t="e" cm="1" vm="3">
        <f t="array" aca="1" ref="K170" ca="1">_FV(Tabella2[[#This Row],[City]],"Paese/area geografica",TRUE)</f>
        <v>#VALUE!</v>
      </c>
      <c r="L170">
        <f>Tabella2[[#This Row],[Quantity]]*Tabella2[[#This Row],[Price]]</f>
        <v>1002.99</v>
      </c>
    </row>
    <row r="171" spans="2:12" x14ac:dyDescent="0.3">
      <c r="B171" s="3">
        <v>10625</v>
      </c>
      <c r="C171" s="4">
        <v>44907</v>
      </c>
      <c r="D171" t="s">
        <v>15</v>
      </c>
      <c r="E171" s="3">
        <v>12.99</v>
      </c>
      <c r="F171" s="3" t="s">
        <v>10</v>
      </c>
      <c r="G171" s="3" t="s">
        <v>11</v>
      </c>
      <c r="H171" t="s">
        <v>24</v>
      </c>
      <c r="I171">
        <v>570</v>
      </c>
      <c r="J171" t="e" vm="7">
        <v>#VALUE!</v>
      </c>
      <c r="K171" t="e" cm="1" vm="3">
        <f t="array" aca="1" ref="K171" ca="1">_FV(Tabella2[[#This Row],[City]],"Paese/area geografica",TRUE)</f>
        <v>#VALUE!</v>
      </c>
      <c r="L171">
        <f>Tabella2[[#This Row],[Quantity]]*Tabella2[[#This Row],[Price]]</f>
        <v>7404.3</v>
      </c>
    </row>
    <row r="172" spans="2:12" x14ac:dyDescent="0.3">
      <c r="B172" s="3">
        <v>10626</v>
      </c>
      <c r="C172" s="4">
        <v>44907</v>
      </c>
      <c r="D172" t="s">
        <v>18</v>
      </c>
      <c r="E172" s="3">
        <v>9.9499999999999993</v>
      </c>
      <c r="F172" s="3" t="s">
        <v>10</v>
      </c>
      <c r="G172" s="3" t="s">
        <v>11</v>
      </c>
      <c r="H172" t="s">
        <v>24</v>
      </c>
      <c r="I172">
        <v>202</v>
      </c>
      <c r="J172" t="e" vm="7">
        <v>#VALUE!</v>
      </c>
      <c r="K172" t="e" cm="1" vm="3">
        <f t="array" aca="1" ref="K172" ca="1">_FV(Tabella2[[#This Row],[City]],"Paese/area geografica",TRUE)</f>
        <v>#VALUE!</v>
      </c>
      <c r="L172">
        <f>Tabella2[[#This Row],[Quantity]]*Tabella2[[#This Row],[Price]]</f>
        <v>2009.8999999999999</v>
      </c>
    </row>
    <row r="173" spans="2:12" x14ac:dyDescent="0.3">
      <c r="B173" s="3">
        <v>10627</v>
      </c>
      <c r="C173" s="4">
        <v>44907</v>
      </c>
      <c r="D173" t="s">
        <v>9</v>
      </c>
      <c r="E173" s="3">
        <v>3.49</v>
      </c>
      <c r="F173" s="3" t="s">
        <v>10</v>
      </c>
      <c r="G173" s="3" t="s">
        <v>11</v>
      </c>
      <c r="H173" t="s">
        <v>24</v>
      </c>
      <c r="I173">
        <v>631</v>
      </c>
      <c r="J173" t="e" vm="7">
        <v>#VALUE!</v>
      </c>
      <c r="K173" t="e" cm="1" vm="3">
        <f t="array" aca="1" ref="K173" ca="1">_FV(Tabella2[[#This Row],[City]],"Paese/area geografica",TRUE)</f>
        <v>#VALUE!</v>
      </c>
      <c r="L173">
        <f>Tabella2[[#This Row],[Quantity]]*Tabella2[[#This Row],[Price]]</f>
        <v>2202.19</v>
      </c>
    </row>
    <row r="174" spans="2:12" x14ac:dyDescent="0.3">
      <c r="B174" s="3">
        <v>10628</v>
      </c>
      <c r="C174" s="4">
        <v>44907</v>
      </c>
      <c r="D174" t="s">
        <v>12</v>
      </c>
      <c r="E174" s="3">
        <v>2.95</v>
      </c>
      <c r="F174" s="3" t="s">
        <v>10</v>
      </c>
      <c r="G174" s="3" t="s">
        <v>11</v>
      </c>
      <c r="H174" t="s">
        <v>21</v>
      </c>
      <c r="I174">
        <v>678</v>
      </c>
      <c r="J174" t="e" vm="9">
        <v>#VALUE!</v>
      </c>
      <c r="K174" t="e" cm="1" vm="4">
        <f t="array" aca="1" ref="K174" ca="1">_FV(Tabella2[[#This Row],[City]],"Paese/area geografica",TRUE)</f>
        <v>#VALUE!</v>
      </c>
      <c r="L174">
        <f>Tabella2[[#This Row],[Quantity]]*Tabella2[[#This Row],[Price]]</f>
        <v>2000.1000000000001</v>
      </c>
    </row>
    <row r="175" spans="2:12" x14ac:dyDescent="0.3">
      <c r="B175" s="3">
        <v>10629</v>
      </c>
      <c r="C175" s="4">
        <v>44907</v>
      </c>
      <c r="D175" t="s">
        <v>13</v>
      </c>
      <c r="E175" s="3">
        <v>4.99</v>
      </c>
      <c r="F175" s="3" t="s">
        <v>10</v>
      </c>
      <c r="G175" s="3" t="s">
        <v>11</v>
      </c>
      <c r="H175" t="s">
        <v>21</v>
      </c>
      <c r="I175">
        <v>201</v>
      </c>
      <c r="J175" t="e" vm="9">
        <v>#VALUE!</v>
      </c>
      <c r="K175" t="e" cm="1" vm="4">
        <f t="array" aca="1" ref="K175" ca="1">_FV(Tabella2[[#This Row],[City]],"Paese/area geografica",TRUE)</f>
        <v>#VALUE!</v>
      </c>
      <c r="L175">
        <f>Tabella2[[#This Row],[Quantity]]*Tabella2[[#This Row],[Price]]</f>
        <v>1002.99</v>
      </c>
    </row>
    <row r="176" spans="2:12" x14ac:dyDescent="0.3">
      <c r="B176" s="3">
        <v>10630</v>
      </c>
      <c r="C176" s="4">
        <v>44908</v>
      </c>
      <c r="D176" t="s">
        <v>15</v>
      </c>
      <c r="E176" s="3">
        <v>12.99</v>
      </c>
      <c r="F176" s="3" t="s">
        <v>10</v>
      </c>
      <c r="G176" s="3" t="s">
        <v>23</v>
      </c>
      <c r="H176" t="s">
        <v>21</v>
      </c>
      <c r="I176">
        <v>570</v>
      </c>
      <c r="J176" t="e" vm="9">
        <v>#VALUE!</v>
      </c>
      <c r="K176" t="e" cm="1" vm="4">
        <f t="array" aca="1" ref="K176" ca="1">_FV(Tabella2[[#This Row],[City]],"Paese/area geografica",TRUE)</f>
        <v>#VALUE!</v>
      </c>
      <c r="L176">
        <f>Tabella2[[#This Row],[Quantity]]*Tabella2[[#This Row],[Price]]</f>
        <v>7404.3</v>
      </c>
    </row>
    <row r="177" spans="2:12" x14ac:dyDescent="0.3">
      <c r="B177" s="3">
        <v>10631</v>
      </c>
      <c r="C177" s="4">
        <v>44908</v>
      </c>
      <c r="D177" t="s">
        <v>18</v>
      </c>
      <c r="E177" s="3">
        <v>9.9499999999999993</v>
      </c>
      <c r="F177" s="3" t="s">
        <v>10</v>
      </c>
      <c r="G177" s="3" t="s">
        <v>11</v>
      </c>
      <c r="H177" t="s">
        <v>21</v>
      </c>
      <c r="I177">
        <v>202</v>
      </c>
      <c r="J177" t="e" vm="9">
        <v>#VALUE!</v>
      </c>
      <c r="K177" t="e" cm="1" vm="4">
        <f t="array" aca="1" ref="K177" ca="1">_FV(Tabella2[[#This Row],[City]],"Paese/area geografica",TRUE)</f>
        <v>#VALUE!</v>
      </c>
      <c r="L177">
        <f>Tabella2[[#This Row],[Quantity]]*Tabella2[[#This Row],[Price]]</f>
        <v>2009.8999999999999</v>
      </c>
    </row>
    <row r="178" spans="2:12" x14ac:dyDescent="0.3">
      <c r="B178" s="3">
        <v>10632</v>
      </c>
      <c r="C178" s="4">
        <v>44908</v>
      </c>
      <c r="D178" t="s">
        <v>9</v>
      </c>
      <c r="E178" s="3">
        <v>3.49</v>
      </c>
      <c r="F178" s="3" t="s">
        <v>10</v>
      </c>
      <c r="G178" s="3" t="s">
        <v>11</v>
      </c>
      <c r="H178" t="s">
        <v>21</v>
      </c>
      <c r="I178">
        <v>631</v>
      </c>
      <c r="J178" t="e" vm="9">
        <v>#VALUE!</v>
      </c>
      <c r="K178" t="e" cm="1" vm="4">
        <f t="array" aca="1" ref="K178" ca="1">_FV(Tabella2[[#This Row],[City]],"Paese/area geografica",TRUE)</f>
        <v>#VALUE!</v>
      </c>
      <c r="L178">
        <f>Tabella2[[#This Row],[Quantity]]*Tabella2[[#This Row],[Price]]</f>
        <v>2202.19</v>
      </c>
    </row>
    <row r="179" spans="2:12" x14ac:dyDescent="0.3">
      <c r="B179" s="3">
        <v>10633</v>
      </c>
      <c r="C179" s="4">
        <v>44908</v>
      </c>
      <c r="D179" t="s">
        <v>12</v>
      </c>
      <c r="E179" s="3">
        <v>2.95</v>
      </c>
      <c r="F179" s="3" t="s">
        <v>10</v>
      </c>
      <c r="G179" s="3" t="s">
        <v>11</v>
      </c>
      <c r="H179" t="s">
        <v>21</v>
      </c>
      <c r="I179">
        <v>678</v>
      </c>
      <c r="J179" t="e" vm="9">
        <v>#VALUE!</v>
      </c>
      <c r="K179" t="e" cm="1" vm="4">
        <f t="array" aca="1" ref="K179" ca="1">_FV(Tabella2[[#This Row],[City]],"Paese/area geografica",TRUE)</f>
        <v>#VALUE!</v>
      </c>
      <c r="L179">
        <f>Tabella2[[#This Row],[Quantity]]*Tabella2[[#This Row],[Price]]</f>
        <v>2000.1000000000001</v>
      </c>
    </row>
    <row r="180" spans="2:12" x14ac:dyDescent="0.3">
      <c r="B180" s="3">
        <v>10634</v>
      </c>
      <c r="C180" s="4">
        <v>44908</v>
      </c>
      <c r="D180" t="s">
        <v>13</v>
      </c>
      <c r="E180" s="3">
        <v>4.99</v>
      </c>
      <c r="F180" s="3" t="s">
        <v>10</v>
      </c>
      <c r="G180" s="3" t="s">
        <v>11</v>
      </c>
      <c r="H180" t="s">
        <v>21</v>
      </c>
      <c r="I180">
        <v>201</v>
      </c>
      <c r="J180" t="e" vm="9">
        <v>#VALUE!</v>
      </c>
      <c r="K180" t="e" cm="1" vm="4">
        <f t="array" aca="1" ref="K180" ca="1">_FV(Tabella2[[#This Row],[City]],"Paese/area geografica",TRUE)</f>
        <v>#VALUE!</v>
      </c>
      <c r="L180">
        <f>Tabella2[[#This Row],[Quantity]]*Tabella2[[#This Row],[Price]]</f>
        <v>1002.99</v>
      </c>
    </row>
    <row r="181" spans="2:12" x14ac:dyDescent="0.3">
      <c r="B181" s="3">
        <v>10635</v>
      </c>
      <c r="C181" s="4">
        <v>44909</v>
      </c>
      <c r="D181" t="s">
        <v>15</v>
      </c>
      <c r="E181" s="3">
        <v>12.99</v>
      </c>
      <c r="F181" s="3" t="s">
        <v>10</v>
      </c>
      <c r="G181" s="3" t="s">
        <v>11</v>
      </c>
      <c r="H181" t="s">
        <v>21</v>
      </c>
      <c r="I181">
        <v>555</v>
      </c>
      <c r="J181" t="e" vm="9">
        <v>#VALUE!</v>
      </c>
      <c r="K181" t="e" cm="1" vm="4">
        <f t="array" aca="1" ref="K181" ca="1">_FV(Tabella2[[#This Row],[City]],"Paese/area geografica",TRUE)</f>
        <v>#VALUE!</v>
      </c>
      <c r="L181">
        <f>Tabella2[[#This Row],[Quantity]]*Tabella2[[#This Row],[Price]]</f>
        <v>7209.45</v>
      </c>
    </row>
    <row r="182" spans="2:12" x14ac:dyDescent="0.3">
      <c r="B182" s="3">
        <v>10636</v>
      </c>
      <c r="C182" s="4">
        <v>44909</v>
      </c>
      <c r="D182" t="s">
        <v>18</v>
      </c>
      <c r="E182" s="3">
        <v>9.9499999999999993</v>
      </c>
      <c r="F182" s="3" t="s">
        <v>10</v>
      </c>
      <c r="G182" s="3" t="s">
        <v>11</v>
      </c>
      <c r="H182" t="s">
        <v>21</v>
      </c>
      <c r="I182">
        <v>222</v>
      </c>
      <c r="J182" t="e" vm="9">
        <v>#VALUE!</v>
      </c>
      <c r="K182" t="e" cm="1" vm="4">
        <f t="array" aca="1" ref="K182" ca="1">_FV(Tabella2[[#This Row],[City]],"Paese/area geografica",TRUE)</f>
        <v>#VALUE!</v>
      </c>
      <c r="L182">
        <f>Tabella2[[#This Row],[Quantity]]*Tabella2[[#This Row],[Price]]</f>
        <v>2208.8999999999996</v>
      </c>
    </row>
    <row r="183" spans="2:12" x14ac:dyDescent="0.3">
      <c r="B183" s="3">
        <v>10637</v>
      </c>
      <c r="C183" s="4">
        <v>44909</v>
      </c>
      <c r="D183" t="s">
        <v>9</v>
      </c>
      <c r="E183" s="3">
        <v>3.49</v>
      </c>
      <c r="F183" s="3" t="s">
        <v>10</v>
      </c>
      <c r="G183" s="3" t="s">
        <v>11</v>
      </c>
      <c r="H183" t="s">
        <v>21</v>
      </c>
      <c r="I183">
        <v>631</v>
      </c>
      <c r="J183" t="e" vm="9">
        <v>#VALUE!</v>
      </c>
      <c r="K183" t="e" cm="1" vm="4">
        <f t="array" aca="1" ref="K183" ca="1">_FV(Tabella2[[#This Row],[City]],"Paese/area geografica",TRUE)</f>
        <v>#VALUE!</v>
      </c>
      <c r="L183">
        <f>Tabella2[[#This Row],[Quantity]]*Tabella2[[#This Row],[Price]]</f>
        <v>2202.19</v>
      </c>
    </row>
    <row r="184" spans="2:12" x14ac:dyDescent="0.3">
      <c r="B184" s="3">
        <v>10638</v>
      </c>
      <c r="C184" s="4">
        <v>44909</v>
      </c>
      <c r="D184" t="s">
        <v>12</v>
      </c>
      <c r="E184" s="3">
        <v>2.95</v>
      </c>
      <c r="F184" s="3" t="s">
        <v>10</v>
      </c>
      <c r="G184" s="3" t="s">
        <v>11</v>
      </c>
      <c r="H184" t="s">
        <v>21</v>
      </c>
      <c r="I184">
        <v>678</v>
      </c>
      <c r="J184" t="e" vm="9">
        <v>#VALUE!</v>
      </c>
      <c r="K184" t="e" cm="1" vm="4">
        <f t="array" aca="1" ref="K184" ca="1">_FV(Tabella2[[#This Row],[City]],"Paese/area geografica",TRUE)</f>
        <v>#VALUE!</v>
      </c>
      <c r="L184">
        <f>Tabella2[[#This Row],[Quantity]]*Tabella2[[#This Row],[Price]]</f>
        <v>2000.1000000000001</v>
      </c>
    </row>
    <row r="185" spans="2:12" x14ac:dyDescent="0.3">
      <c r="B185" s="3">
        <v>10639</v>
      </c>
      <c r="C185" s="4">
        <v>44909</v>
      </c>
      <c r="D185" t="s">
        <v>13</v>
      </c>
      <c r="E185" s="3">
        <v>4.99</v>
      </c>
      <c r="F185" s="3" t="s">
        <v>10</v>
      </c>
      <c r="G185" s="3" t="s">
        <v>11</v>
      </c>
      <c r="H185" t="s">
        <v>21</v>
      </c>
      <c r="I185">
        <v>201</v>
      </c>
      <c r="J185" t="e" vm="9">
        <v>#VALUE!</v>
      </c>
      <c r="K185" t="e" cm="1" vm="4">
        <f t="array" aca="1" ref="K185" ca="1">_FV(Tabella2[[#This Row],[City]],"Paese/area geografica",TRUE)</f>
        <v>#VALUE!</v>
      </c>
      <c r="L185">
        <f>Tabella2[[#This Row],[Quantity]]*Tabella2[[#This Row],[Price]]</f>
        <v>1002.99</v>
      </c>
    </row>
    <row r="186" spans="2:12" x14ac:dyDescent="0.3">
      <c r="B186" s="3">
        <v>10640</v>
      </c>
      <c r="C186" s="4">
        <v>44910</v>
      </c>
      <c r="D186" t="s">
        <v>15</v>
      </c>
      <c r="E186" s="3">
        <v>12.99</v>
      </c>
      <c r="F186" s="3" t="s">
        <v>10</v>
      </c>
      <c r="G186" s="3" t="s">
        <v>11</v>
      </c>
      <c r="H186" t="s">
        <v>21</v>
      </c>
      <c r="I186">
        <v>539</v>
      </c>
      <c r="J186" t="e" vm="9">
        <v>#VALUE!</v>
      </c>
      <c r="K186" t="e" cm="1" vm="4">
        <f t="array" aca="1" ref="K186" ca="1">_FV(Tabella2[[#This Row],[City]],"Paese/area geografica",TRUE)</f>
        <v>#VALUE!</v>
      </c>
      <c r="L186">
        <f>Tabella2[[#This Row],[Quantity]]*Tabella2[[#This Row],[Price]]</f>
        <v>7001.61</v>
      </c>
    </row>
    <row r="187" spans="2:12" x14ac:dyDescent="0.3">
      <c r="B187" s="3">
        <v>10641</v>
      </c>
      <c r="C187" s="4">
        <v>44910</v>
      </c>
      <c r="D187" t="s">
        <v>18</v>
      </c>
      <c r="E187" s="3">
        <v>9.9499999999999993</v>
      </c>
      <c r="F187" s="3" t="s">
        <v>10</v>
      </c>
      <c r="G187" s="3" t="s">
        <v>11</v>
      </c>
      <c r="H187" t="s">
        <v>21</v>
      </c>
      <c r="I187">
        <v>222</v>
      </c>
      <c r="J187" t="e" vm="9">
        <v>#VALUE!</v>
      </c>
      <c r="K187" t="e" cm="1" vm="4">
        <f t="array" aca="1" ref="K187" ca="1">_FV(Tabella2[[#This Row],[City]],"Paese/area geografica",TRUE)</f>
        <v>#VALUE!</v>
      </c>
      <c r="L187">
        <f>Tabella2[[#This Row],[Quantity]]*Tabella2[[#This Row],[Price]]</f>
        <v>2208.8999999999996</v>
      </c>
    </row>
    <row r="188" spans="2:12" x14ac:dyDescent="0.3">
      <c r="B188" s="3">
        <v>10642</v>
      </c>
      <c r="C188" s="4">
        <v>44910</v>
      </c>
      <c r="D188" t="s">
        <v>9</v>
      </c>
      <c r="E188" s="3">
        <v>3.49</v>
      </c>
      <c r="F188" s="3" t="s">
        <v>10</v>
      </c>
      <c r="G188" s="3" t="s">
        <v>23</v>
      </c>
      <c r="H188" t="s">
        <v>21</v>
      </c>
      <c r="I188">
        <v>631</v>
      </c>
      <c r="J188" t="e" vm="9">
        <v>#VALUE!</v>
      </c>
      <c r="K188" t="e" cm="1" vm="4">
        <f t="array" aca="1" ref="K188" ca="1">_FV(Tabella2[[#This Row],[City]],"Paese/area geografica",TRUE)</f>
        <v>#VALUE!</v>
      </c>
      <c r="L188">
        <f>Tabella2[[#This Row],[Quantity]]*Tabella2[[#This Row],[Price]]</f>
        <v>2202.19</v>
      </c>
    </row>
    <row r="189" spans="2:12" x14ac:dyDescent="0.3">
      <c r="B189" s="3">
        <v>10643</v>
      </c>
      <c r="C189" s="4">
        <v>44910</v>
      </c>
      <c r="D189" t="s">
        <v>12</v>
      </c>
      <c r="E189" s="3">
        <v>2.95</v>
      </c>
      <c r="F189" s="3" t="s">
        <v>10</v>
      </c>
      <c r="G189" s="3" t="s">
        <v>23</v>
      </c>
      <c r="H189" t="s">
        <v>21</v>
      </c>
      <c r="I189">
        <v>678</v>
      </c>
      <c r="J189" t="e" vm="9">
        <v>#VALUE!</v>
      </c>
      <c r="K189" t="e" cm="1" vm="4">
        <f t="array" aca="1" ref="K189" ca="1">_FV(Tabella2[[#This Row],[City]],"Paese/area geografica",TRUE)</f>
        <v>#VALUE!</v>
      </c>
      <c r="L189">
        <f>Tabella2[[#This Row],[Quantity]]*Tabella2[[#This Row],[Price]]</f>
        <v>2000.1000000000001</v>
      </c>
    </row>
    <row r="190" spans="2:12" x14ac:dyDescent="0.3">
      <c r="B190" s="3">
        <v>10644</v>
      </c>
      <c r="C190" s="4">
        <v>44910</v>
      </c>
      <c r="D190" t="s">
        <v>13</v>
      </c>
      <c r="E190" s="3">
        <v>4.99</v>
      </c>
      <c r="F190" s="3" t="s">
        <v>10</v>
      </c>
      <c r="G190" s="3" t="s">
        <v>23</v>
      </c>
      <c r="H190" t="s">
        <v>21</v>
      </c>
      <c r="I190">
        <v>201</v>
      </c>
      <c r="J190" t="e" vm="9">
        <v>#VALUE!</v>
      </c>
      <c r="K190" t="e" cm="1" vm="4">
        <f t="array" aca="1" ref="K190" ca="1">_FV(Tabella2[[#This Row],[City]],"Paese/area geografica",TRUE)</f>
        <v>#VALUE!</v>
      </c>
      <c r="L190">
        <f>Tabella2[[#This Row],[Quantity]]*Tabella2[[#This Row],[Price]]</f>
        <v>1002.99</v>
      </c>
    </row>
    <row r="191" spans="2:12" x14ac:dyDescent="0.3">
      <c r="B191" s="3">
        <v>10645</v>
      </c>
      <c r="C191" s="4">
        <v>44911</v>
      </c>
      <c r="D191" t="s">
        <v>15</v>
      </c>
      <c r="E191" s="3">
        <v>12.99</v>
      </c>
      <c r="F191" s="3" t="s">
        <v>10</v>
      </c>
      <c r="G191" s="3" t="s">
        <v>23</v>
      </c>
      <c r="H191" t="s">
        <v>21</v>
      </c>
      <c r="I191">
        <v>570</v>
      </c>
      <c r="J191" t="e" vm="9">
        <v>#VALUE!</v>
      </c>
      <c r="K191" t="e" cm="1" vm="4">
        <f t="array" aca="1" ref="K191" ca="1">_FV(Tabella2[[#This Row],[City]],"Paese/area geografica",TRUE)</f>
        <v>#VALUE!</v>
      </c>
      <c r="L191">
        <f>Tabella2[[#This Row],[Quantity]]*Tabella2[[#This Row],[Price]]</f>
        <v>7404.3</v>
      </c>
    </row>
    <row r="192" spans="2:12" x14ac:dyDescent="0.3">
      <c r="B192" s="3">
        <v>10646</v>
      </c>
      <c r="C192" s="4">
        <v>44911</v>
      </c>
      <c r="D192" t="s">
        <v>18</v>
      </c>
      <c r="E192" s="3">
        <v>9.9499999999999993</v>
      </c>
      <c r="F192" s="3" t="s">
        <v>10</v>
      </c>
      <c r="G192" s="3" t="s">
        <v>23</v>
      </c>
      <c r="H192" t="s">
        <v>21</v>
      </c>
      <c r="I192">
        <v>222</v>
      </c>
      <c r="J192" t="e" vm="9">
        <v>#VALUE!</v>
      </c>
      <c r="K192" t="e" cm="1" vm="4">
        <f t="array" aca="1" ref="K192" ca="1">_FV(Tabella2[[#This Row],[City]],"Paese/area geografica",TRUE)</f>
        <v>#VALUE!</v>
      </c>
      <c r="L192">
        <f>Tabella2[[#This Row],[Quantity]]*Tabella2[[#This Row],[Price]]</f>
        <v>2208.8999999999996</v>
      </c>
    </row>
    <row r="193" spans="2:12" x14ac:dyDescent="0.3">
      <c r="B193" s="3">
        <v>10647</v>
      </c>
      <c r="C193" s="4">
        <v>44911</v>
      </c>
      <c r="D193" t="s">
        <v>9</v>
      </c>
      <c r="E193" s="3">
        <v>3.49</v>
      </c>
      <c r="F193" s="3" t="s">
        <v>10</v>
      </c>
      <c r="G193" s="3" t="s">
        <v>11</v>
      </c>
      <c r="H193" t="s">
        <v>21</v>
      </c>
      <c r="I193">
        <v>631</v>
      </c>
      <c r="J193" t="e" vm="9">
        <v>#VALUE!</v>
      </c>
      <c r="K193" t="e" cm="1" vm="4">
        <f t="array" aca="1" ref="K193" ca="1">_FV(Tabella2[[#This Row],[City]],"Paese/area geografica",TRUE)</f>
        <v>#VALUE!</v>
      </c>
      <c r="L193">
        <f>Tabella2[[#This Row],[Quantity]]*Tabella2[[#This Row],[Price]]</f>
        <v>2202.19</v>
      </c>
    </row>
    <row r="194" spans="2:12" x14ac:dyDescent="0.3">
      <c r="B194" s="3">
        <v>10648</v>
      </c>
      <c r="C194" s="4">
        <v>44911</v>
      </c>
      <c r="D194" t="s">
        <v>12</v>
      </c>
      <c r="E194" s="3">
        <v>2.95</v>
      </c>
      <c r="F194" s="3" t="s">
        <v>10</v>
      </c>
      <c r="G194" s="3" t="s">
        <v>11</v>
      </c>
      <c r="H194" t="s">
        <v>21</v>
      </c>
      <c r="I194">
        <v>746</v>
      </c>
      <c r="J194" t="e" vm="9">
        <v>#VALUE!</v>
      </c>
      <c r="K194" t="e" cm="1" vm="4">
        <f t="array" aca="1" ref="K194" ca="1">_FV(Tabella2[[#This Row],[City]],"Paese/area geografica",TRUE)</f>
        <v>#VALUE!</v>
      </c>
      <c r="L194">
        <f>Tabella2[[#This Row],[Quantity]]*Tabella2[[#This Row],[Price]]</f>
        <v>2200.7000000000003</v>
      </c>
    </row>
    <row r="195" spans="2:12" x14ac:dyDescent="0.3">
      <c r="B195" s="3">
        <v>10649</v>
      </c>
      <c r="C195" s="4">
        <v>44911</v>
      </c>
      <c r="D195" t="s">
        <v>13</v>
      </c>
      <c r="E195" s="3">
        <v>4.99</v>
      </c>
      <c r="F195" s="3" t="s">
        <v>10</v>
      </c>
      <c r="G195" s="3" t="s">
        <v>11</v>
      </c>
      <c r="H195" t="s">
        <v>21</v>
      </c>
      <c r="I195">
        <v>201</v>
      </c>
      <c r="J195" t="e" vm="9">
        <v>#VALUE!</v>
      </c>
      <c r="K195" t="e" cm="1" vm="4">
        <f t="array" aca="1" ref="K195" ca="1">_FV(Tabella2[[#This Row],[City]],"Paese/area geografica",TRUE)</f>
        <v>#VALUE!</v>
      </c>
      <c r="L195">
        <f>Tabella2[[#This Row],[Quantity]]*Tabella2[[#This Row],[Price]]</f>
        <v>1002.99</v>
      </c>
    </row>
    <row r="196" spans="2:12" x14ac:dyDescent="0.3">
      <c r="B196" s="3">
        <v>10650</v>
      </c>
      <c r="C196" s="4">
        <v>44912</v>
      </c>
      <c r="D196" t="s">
        <v>15</v>
      </c>
      <c r="E196" s="3">
        <v>12.99</v>
      </c>
      <c r="F196" s="3" t="s">
        <v>10</v>
      </c>
      <c r="G196" s="3" t="s">
        <v>11</v>
      </c>
      <c r="H196" t="s">
        <v>21</v>
      </c>
      <c r="I196">
        <v>586</v>
      </c>
      <c r="J196" t="e" vm="9">
        <v>#VALUE!</v>
      </c>
      <c r="K196" t="e" cm="1" vm="4">
        <f t="array" aca="1" ref="K196" ca="1">_FV(Tabella2[[#This Row],[City]],"Paese/area geografica",TRUE)</f>
        <v>#VALUE!</v>
      </c>
      <c r="L196">
        <f>Tabella2[[#This Row],[Quantity]]*Tabella2[[#This Row],[Price]]</f>
        <v>7612.14</v>
      </c>
    </row>
    <row r="197" spans="2:12" x14ac:dyDescent="0.3">
      <c r="B197" s="3">
        <v>10651</v>
      </c>
      <c r="C197" s="4">
        <v>44912</v>
      </c>
      <c r="D197" t="s">
        <v>18</v>
      </c>
      <c r="E197" s="3">
        <v>9.9499999999999993</v>
      </c>
      <c r="F197" s="3" t="s">
        <v>10</v>
      </c>
      <c r="G197" s="3" t="s">
        <v>11</v>
      </c>
      <c r="H197" t="s">
        <v>21</v>
      </c>
      <c r="I197">
        <v>222</v>
      </c>
      <c r="J197" t="e" vm="9">
        <v>#VALUE!</v>
      </c>
      <c r="K197" t="e" cm="1" vm="4">
        <f t="array" aca="1" ref="K197" ca="1">_FV(Tabella2[[#This Row],[City]],"Paese/area geografica",TRUE)</f>
        <v>#VALUE!</v>
      </c>
      <c r="L197">
        <f>Tabella2[[#This Row],[Quantity]]*Tabella2[[#This Row],[Price]]</f>
        <v>2208.8999999999996</v>
      </c>
    </row>
    <row r="198" spans="2:12" x14ac:dyDescent="0.3">
      <c r="B198" s="3">
        <v>10652</v>
      </c>
      <c r="C198" s="4">
        <v>44912</v>
      </c>
      <c r="D198" t="s">
        <v>9</v>
      </c>
      <c r="E198" s="3">
        <v>3.49</v>
      </c>
      <c r="F198" s="3" t="s">
        <v>10</v>
      </c>
      <c r="G198" s="3" t="s">
        <v>11</v>
      </c>
      <c r="H198" t="s">
        <v>21</v>
      </c>
      <c r="I198">
        <v>688</v>
      </c>
      <c r="J198" t="e" vm="9">
        <v>#VALUE!</v>
      </c>
      <c r="K198" t="e" cm="1" vm="4">
        <f t="array" aca="1" ref="K198" ca="1">_FV(Tabella2[[#This Row],[City]],"Paese/area geografica",TRUE)</f>
        <v>#VALUE!</v>
      </c>
      <c r="L198">
        <f>Tabella2[[#This Row],[Quantity]]*Tabella2[[#This Row],[Price]]</f>
        <v>2401.1200000000003</v>
      </c>
    </row>
    <row r="199" spans="2:12" x14ac:dyDescent="0.3">
      <c r="B199" s="3">
        <v>10653</v>
      </c>
      <c r="C199" s="4">
        <v>44912</v>
      </c>
      <c r="D199" t="s">
        <v>12</v>
      </c>
      <c r="E199" s="3">
        <v>2.95</v>
      </c>
      <c r="F199" s="3" t="s">
        <v>10</v>
      </c>
      <c r="G199" s="3" t="s">
        <v>11</v>
      </c>
      <c r="H199" t="s">
        <v>21</v>
      </c>
      <c r="I199">
        <v>746</v>
      </c>
      <c r="J199" t="e" vm="9">
        <v>#VALUE!</v>
      </c>
      <c r="K199" t="e" cm="1" vm="4">
        <f t="array" aca="1" ref="K199" ca="1">_FV(Tabella2[[#This Row],[City]],"Paese/area geografica",TRUE)</f>
        <v>#VALUE!</v>
      </c>
      <c r="L199">
        <f>Tabella2[[#This Row],[Quantity]]*Tabella2[[#This Row],[Price]]</f>
        <v>2200.7000000000003</v>
      </c>
    </row>
    <row r="200" spans="2:12" x14ac:dyDescent="0.3">
      <c r="B200" s="3">
        <v>10654</v>
      </c>
      <c r="C200" s="4">
        <v>44912</v>
      </c>
      <c r="D200" t="s">
        <v>13</v>
      </c>
      <c r="E200" s="3">
        <v>4.99</v>
      </c>
      <c r="F200" s="3" t="s">
        <v>10</v>
      </c>
      <c r="G200" s="3" t="s">
        <v>11</v>
      </c>
      <c r="H200" t="s">
        <v>21</v>
      </c>
      <c r="I200">
        <v>201</v>
      </c>
      <c r="J200" t="e" vm="9">
        <v>#VALUE!</v>
      </c>
      <c r="K200" t="e" cm="1" vm="4">
        <f t="array" aca="1" ref="K200" ca="1">_FV(Tabella2[[#This Row],[City]],"Paese/area geografica",TRUE)</f>
        <v>#VALUE!</v>
      </c>
      <c r="L200">
        <f>Tabella2[[#This Row],[Quantity]]*Tabella2[[#This Row],[Price]]</f>
        <v>1002.99</v>
      </c>
    </row>
    <row r="201" spans="2:12" x14ac:dyDescent="0.3">
      <c r="B201" s="3">
        <v>10655</v>
      </c>
      <c r="C201" s="4">
        <v>44913</v>
      </c>
      <c r="D201" t="s">
        <v>15</v>
      </c>
      <c r="E201" s="3">
        <v>12.99</v>
      </c>
      <c r="F201" s="3" t="s">
        <v>10</v>
      </c>
      <c r="G201" s="3" t="s">
        <v>11</v>
      </c>
      <c r="H201" t="s">
        <v>21</v>
      </c>
      <c r="I201">
        <v>601</v>
      </c>
      <c r="J201" t="e" vm="9">
        <v>#VALUE!</v>
      </c>
      <c r="K201" t="e" cm="1" vm="4">
        <f t="array" aca="1" ref="K201" ca="1">_FV(Tabella2[[#This Row],[City]],"Paese/area geografica",TRUE)</f>
        <v>#VALUE!</v>
      </c>
      <c r="L201">
        <f>Tabella2[[#This Row],[Quantity]]*Tabella2[[#This Row],[Price]]</f>
        <v>7806.99</v>
      </c>
    </row>
    <row r="202" spans="2:12" x14ac:dyDescent="0.3">
      <c r="B202" s="3">
        <v>10656</v>
      </c>
      <c r="C202" s="4">
        <v>44913</v>
      </c>
      <c r="D202" t="s">
        <v>18</v>
      </c>
      <c r="E202" s="3">
        <v>9.9499999999999993</v>
      </c>
      <c r="F202" s="3" t="s">
        <v>10</v>
      </c>
      <c r="G202" s="3" t="s">
        <v>11</v>
      </c>
      <c r="H202" t="s">
        <v>21</v>
      </c>
      <c r="I202">
        <v>222</v>
      </c>
      <c r="J202" t="e" vm="9">
        <v>#VALUE!</v>
      </c>
      <c r="K202" t="e" cm="1" vm="4">
        <f t="array" aca="1" ref="K202" ca="1">_FV(Tabella2[[#This Row],[City]],"Paese/area geografica",TRUE)</f>
        <v>#VALUE!</v>
      </c>
      <c r="L202">
        <f>Tabella2[[#This Row],[Quantity]]*Tabella2[[#This Row],[Price]]</f>
        <v>2208.8999999999996</v>
      </c>
    </row>
    <row r="203" spans="2:12" x14ac:dyDescent="0.3">
      <c r="B203" s="3">
        <v>10657</v>
      </c>
      <c r="C203" s="4">
        <v>44913</v>
      </c>
      <c r="D203" t="s">
        <v>9</v>
      </c>
      <c r="E203" s="3">
        <v>3.49</v>
      </c>
      <c r="F203" s="3" t="s">
        <v>10</v>
      </c>
      <c r="G203" s="3" t="s">
        <v>11</v>
      </c>
      <c r="H203" t="s">
        <v>21</v>
      </c>
      <c r="I203">
        <v>688</v>
      </c>
      <c r="J203" t="e" vm="9">
        <v>#VALUE!</v>
      </c>
      <c r="K203" t="e" cm="1" vm="4">
        <f t="array" aca="1" ref="K203" ca="1">_FV(Tabella2[[#This Row],[City]],"Paese/area geografica",TRUE)</f>
        <v>#VALUE!</v>
      </c>
      <c r="L203">
        <f>Tabella2[[#This Row],[Quantity]]*Tabella2[[#This Row],[Price]]</f>
        <v>2401.1200000000003</v>
      </c>
    </row>
    <row r="204" spans="2:12" x14ac:dyDescent="0.3">
      <c r="B204" s="3">
        <v>10658</v>
      </c>
      <c r="C204" s="4">
        <v>44913</v>
      </c>
      <c r="D204" t="s">
        <v>12</v>
      </c>
      <c r="E204" s="3">
        <v>2.95</v>
      </c>
      <c r="F204" s="3" t="s">
        <v>10</v>
      </c>
      <c r="G204" s="3" t="s">
        <v>23</v>
      </c>
      <c r="H204" t="s">
        <v>21</v>
      </c>
      <c r="I204">
        <v>746</v>
      </c>
      <c r="J204" t="e" vm="9">
        <v>#VALUE!</v>
      </c>
      <c r="K204" t="e" cm="1" vm="4">
        <f t="array" aca="1" ref="K204" ca="1">_FV(Tabella2[[#This Row],[City]],"Paese/area geografica",TRUE)</f>
        <v>#VALUE!</v>
      </c>
      <c r="L204">
        <f>Tabella2[[#This Row],[Quantity]]*Tabella2[[#This Row],[Price]]</f>
        <v>2200.7000000000003</v>
      </c>
    </row>
    <row r="205" spans="2:12" x14ac:dyDescent="0.3">
      <c r="B205" s="3">
        <v>10659</v>
      </c>
      <c r="C205" s="4">
        <v>44913</v>
      </c>
      <c r="D205" t="s">
        <v>13</v>
      </c>
      <c r="E205" s="3">
        <v>4.99</v>
      </c>
      <c r="F205" s="3" t="s">
        <v>10</v>
      </c>
      <c r="G205" s="3" t="s">
        <v>23</v>
      </c>
      <c r="H205" t="s">
        <v>21</v>
      </c>
      <c r="I205">
        <v>201</v>
      </c>
      <c r="J205" t="e" vm="9">
        <v>#VALUE!</v>
      </c>
      <c r="K205" t="e" cm="1" vm="4">
        <f t="array" aca="1" ref="K205" ca="1">_FV(Tabella2[[#This Row],[City]],"Paese/area geografica",TRUE)</f>
        <v>#VALUE!</v>
      </c>
      <c r="L205">
        <f>Tabella2[[#This Row],[Quantity]]*Tabella2[[#This Row],[Price]]</f>
        <v>1002.99</v>
      </c>
    </row>
    <row r="206" spans="2:12" x14ac:dyDescent="0.3">
      <c r="B206" s="3">
        <v>10660</v>
      </c>
      <c r="C206" s="4">
        <v>44914</v>
      </c>
      <c r="D206" t="s">
        <v>15</v>
      </c>
      <c r="E206" s="3">
        <v>12.99</v>
      </c>
      <c r="F206" s="3" t="s">
        <v>14</v>
      </c>
      <c r="G206" s="3" t="s">
        <v>23</v>
      </c>
      <c r="H206" t="s">
        <v>21</v>
      </c>
      <c r="I206">
        <v>632</v>
      </c>
      <c r="J206" t="e" vm="9">
        <v>#VALUE!</v>
      </c>
      <c r="K206" t="e" cm="1" vm="4">
        <f t="array" aca="1" ref="K206" ca="1">_FV(Tabella2[[#This Row],[City]],"Paese/area geografica",TRUE)</f>
        <v>#VALUE!</v>
      </c>
      <c r="L206">
        <f>Tabella2[[#This Row],[Quantity]]*Tabella2[[#This Row],[Price]]</f>
        <v>8209.68</v>
      </c>
    </row>
    <row r="207" spans="2:12" x14ac:dyDescent="0.3">
      <c r="B207" s="3">
        <v>10661</v>
      </c>
      <c r="C207" s="4">
        <v>44914</v>
      </c>
      <c r="D207" t="s">
        <v>18</v>
      </c>
      <c r="E207" s="3">
        <v>9.9499999999999993</v>
      </c>
      <c r="F207" s="3" t="s">
        <v>14</v>
      </c>
      <c r="G207" s="3" t="s">
        <v>23</v>
      </c>
      <c r="H207" t="s">
        <v>21</v>
      </c>
      <c r="I207">
        <v>222</v>
      </c>
      <c r="J207" t="e" vm="9">
        <v>#VALUE!</v>
      </c>
      <c r="K207" t="e" cm="1" vm="4">
        <f t="array" aca="1" ref="K207" ca="1">_FV(Tabella2[[#This Row],[City]],"Paese/area geografica",TRUE)</f>
        <v>#VALUE!</v>
      </c>
      <c r="L207">
        <f>Tabella2[[#This Row],[Quantity]]*Tabella2[[#This Row],[Price]]</f>
        <v>2208.8999999999996</v>
      </c>
    </row>
    <row r="208" spans="2:12" x14ac:dyDescent="0.3">
      <c r="B208" s="3">
        <v>10662</v>
      </c>
      <c r="C208" s="4">
        <v>44914</v>
      </c>
      <c r="D208" t="s">
        <v>9</v>
      </c>
      <c r="E208" s="3">
        <v>3.49</v>
      </c>
      <c r="F208" s="3" t="s">
        <v>14</v>
      </c>
      <c r="G208" s="3" t="s">
        <v>23</v>
      </c>
      <c r="H208" t="s">
        <v>21</v>
      </c>
      <c r="I208">
        <v>631</v>
      </c>
      <c r="J208" t="e" vm="9">
        <v>#VALUE!</v>
      </c>
      <c r="K208" t="e" cm="1" vm="4">
        <f t="array" aca="1" ref="K208" ca="1">_FV(Tabella2[[#This Row],[City]],"Paese/area geografica",TRUE)</f>
        <v>#VALUE!</v>
      </c>
      <c r="L208">
        <f>Tabella2[[#This Row],[Quantity]]*Tabella2[[#This Row],[Price]]</f>
        <v>2202.19</v>
      </c>
    </row>
    <row r="209" spans="2:12" x14ac:dyDescent="0.3">
      <c r="B209" s="3">
        <v>10663</v>
      </c>
      <c r="C209" s="4">
        <v>44914</v>
      </c>
      <c r="D209" t="s">
        <v>12</v>
      </c>
      <c r="E209" s="3">
        <v>2.95</v>
      </c>
      <c r="F209" s="3" t="s">
        <v>14</v>
      </c>
      <c r="G209" s="3" t="s">
        <v>23</v>
      </c>
      <c r="H209" t="s">
        <v>21</v>
      </c>
      <c r="I209">
        <v>746</v>
      </c>
      <c r="J209" t="e" vm="9">
        <v>#VALUE!</v>
      </c>
      <c r="K209" t="e" cm="1" vm="4">
        <f t="array" aca="1" ref="K209" ca="1">_FV(Tabella2[[#This Row],[City]],"Paese/area geografica",TRUE)</f>
        <v>#VALUE!</v>
      </c>
      <c r="L209">
        <f>Tabella2[[#This Row],[Quantity]]*Tabella2[[#This Row],[Price]]</f>
        <v>2200.7000000000003</v>
      </c>
    </row>
    <row r="210" spans="2:12" x14ac:dyDescent="0.3">
      <c r="B210" s="3">
        <v>10664</v>
      </c>
      <c r="C210" s="4">
        <v>44914</v>
      </c>
      <c r="D210" t="s">
        <v>13</v>
      </c>
      <c r="E210" s="3">
        <v>4.99</v>
      </c>
      <c r="F210" s="3" t="s">
        <v>14</v>
      </c>
      <c r="G210" s="3" t="s">
        <v>23</v>
      </c>
      <c r="H210" t="s">
        <v>21</v>
      </c>
      <c r="I210">
        <v>201</v>
      </c>
      <c r="J210" t="e" vm="9">
        <v>#VALUE!</v>
      </c>
      <c r="K210" t="e" cm="1" vm="4">
        <f t="array" aca="1" ref="K210" ca="1">_FV(Tabella2[[#This Row],[City]],"Paese/area geografica",TRUE)</f>
        <v>#VALUE!</v>
      </c>
      <c r="L210">
        <f>Tabella2[[#This Row],[Quantity]]*Tabella2[[#This Row],[Price]]</f>
        <v>1002.99</v>
      </c>
    </row>
    <row r="211" spans="2:12" x14ac:dyDescent="0.3">
      <c r="B211" s="3">
        <v>10665</v>
      </c>
      <c r="C211" s="4">
        <v>44915</v>
      </c>
      <c r="D211" t="s">
        <v>15</v>
      </c>
      <c r="E211" s="3">
        <v>12.99</v>
      </c>
      <c r="F211" s="3" t="s">
        <v>14</v>
      </c>
      <c r="G211" s="3" t="s">
        <v>23</v>
      </c>
      <c r="H211" t="s">
        <v>21</v>
      </c>
      <c r="I211">
        <v>647</v>
      </c>
      <c r="J211" t="e" vm="9">
        <v>#VALUE!</v>
      </c>
      <c r="K211" t="e" cm="1" vm="4">
        <f t="array" aca="1" ref="K211" ca="1">_FV(Tabella2[[#This Row],[City]],"Paese/area geografica",TRUE)</f>
        <v>#VALUE!</v>
      </c>
      <c r="L211">
        <f>Tabella2[[#This Row],[Quantity]]*Tabella2[[#This Row],[Price]]</f>
        <v>8404.5300000000007</v>
      </c>
    </row>
    <row r="212" spans="2:12" x14ac:dyDescent="0.3">
      <c r="B212" s="3">
        <v>10666</v>
      </c>
      <c r="C212" s="4">
        <v>44915</v>
      </c>
      <c r="D212" t="s">
        <v>18</v>
      </c>
      <c r="E212" s="3">
        <v>9.9499999999999993</v>
      </c>
      <c r="F212" s="3" t="s">
        <v>14</v>
      </c>
      <c r="G212" s="3" t="s">
        <v>23</v>
      </c>
      <c r="H212" t="s">
        <v>21</v>
      </c>
      <c r="I212">
        <v>222</v>
      </c>
      <c r="J212" t="e" vm="9">
        <v>#VALUE!</v>
      </c>
      <c r="K212" t="e" cm="1" vm="4">
        <f t="array" aca="1" ref="K212" ca="1">_FV(Tabella2[[#This Row],[City]],"Paese/area geografica",TRUE)</f>
        <v>#VALUE!</v>
      </c>
      <c r="L212">
        <f>Tabella2[[#This Row],[Quantity]]*Tabella2[[#This Row],[Price]]</f>
        <v>2208.8999999999996</v>
      </c>
    </row>
    <row r="213" spans="2:12" x14ac:dyDescent="0.3">
      <c r="B213" s="3">
        <v>10667</v>
      </c>
      <c r="C213" s="4">
        <v>44915</v>
      </c>
      <c r="D213" t="s">
        <v>9</v>
      </c>
      <c r="E213" s="3">
        <v>3.49</v>
      </c>
      <c r="F213" s="3" t="s">
        <v>14</v>
      </c>
      <c r="G213" s="3" t="s">
        <v>23</v>
      </c>
      <c r="H213" t="s">
        <v>21</v>
      </c>
      <c r="I213">
        <v>631</v>
      </c>
      <c r="J213" t="e" vm="9">
        <v>#VALUE!</v>
      </c>
      <c r="K213" t="e" cm="1" vm="4">
        <f t="array" aca="1" ref="K213" ca="1">_FV(Tabella2[[#This Row],[City]],"Paese/area geografica",TRUE)</f>
        <v>#VALUE!</v>
      </c>
      <c r="L213">
        <f>Tabella2[[#This Row],[Quantity]]*Tabella2[[#This Row],[Price]]</f>
        <v>2202.19</v>
      </c>
    </row>
    <row r="214" spans="2:12" x14ac:dyDescent="0.3">
      <c r="B214" s="3">
        <v>10668</v>
      </c>
      <c r="C214" s="4">
        <v>44915</v>
      </c>
      <c r="D214" t="s">
        <v>12</v>
      </c>
      <c r="E214" s="3">
        <v>2.95</v>
      </c>
      <c r="F214" s="3" t="s">
        <v>14</v>
      </c>
      <c r="G214" s="3" t="s">
        <v>23</v>
      </c>
      <c r="H214" t="s">
        <v>21</v>
      </c>
      <c r="I214">
        <v>746</v>
      </c>
      <c r="J214" t="e" vm="9">
        <v>#VALUE!</v>
      </c>
      <c r="K214" t="e" cm="1" vm="4">
        <f t="array" aca="1" ref="K214" ca="1">_FV(Tabella2[[#This Row],[City]],"Paese/area geografica",TRUE)</f>
        <v>#VALUE!</v>
      </c>
      <c r="L214">
        <f>Tabella2[[#This Row],[Quantity]]*Tabella2[[#This Row],[Price]]</f>
        <v>2200.7000000000003</v>
      </c>
    </row>
    <row r="215" spans="2:12" x14ac:dyDescent="0.3">
      <c r="B215" s="3">
        <v>10669</v>
      </c>
      <c r="C215" s="4">
        <v>44915</v>
      </c>
      <c r="D215" t="s">
        <v>13</v>
      </c>
      <c r="E215" s="3">
        <v>4.99</v>
      </c>
      <c r="F215" s="3" t="s">
        <v>14</v>
      </c>
      <c r="G215" s="3" t="s">
        <v>23</v>
      </c>
      <c r="H215" t="s">
        <v>21</v>
      </c>
      <c r="I215">
        <v>201</v>
      </c>
      <c r="J215" t="e" vm="9">
        <v>#VALUE!</v>
      </c>
      <c r="K215" t="e" cm="1" vm="4">
        <f t="array" aca="1" ref="K215" ca="1">_FV(Tabella2[[#This Row],[City]],"Paese/area geografica",TRUE)</f>
        <v>#VALUE!</v>
      </c>
      <c r="L215">
        <f>Tabella2[[#This Row],[Quantity]]*Tabella2[[#This Row],[Price]]</f>
        <v>1002.99</v>
      </c>
    </row>
    <row r="216" spans="2:12" x14ac:dyDescent="0.3">
      <c r="B216" s="3">
        <v>10670</v>
      </c>
      <c r="C216" s="4">
        <v>44916</v>
      </c>
      <c r="D216" t="s">
        <v>15</v>
      </c>
      <c r="E216" s="3">
        <v>12.99</v>
      </c>
      <c r="F216" s="3" t="s">
        <v>14</v>
      </c>
      <c r="G216" s="3" t="s">
        <v>23</v>
      </c>
      <c r="H216" t="s">
        <v>21</v>
      </c>
      <c r="I216">
        <v>678</v>
      </c>
      <c r="J216" t="e" vm="9">
        <v>#VALUE!</v>
      </c>
      <c r="K216" t="e" cm="1" vm="4">
        <f t="array" aca="1" ref="K216" ca="1">_FV(Tabella2[[#This Row],[City]],"Paese/area geografica",TRUE)</f>
        <v>#VALUE!</v>
      </c>
      <c r="L216">
        <f>Tabella2[[#This Row],[Quantity]]*Tabella2[[#This Row],[Price]]</f>
        <v>8807.2199999999993</v>
      </c>
    </row>
    <row r="217" spans="2:12" x14ac:dyDescent="0.3">
      <c r="B217" s="3">
        <v>10671</v>
      </c>
      <c r="C217" s="4">
        <v>44916</v>
      </c>
      <c r="D217" t="s">
        <v>18</v>
      </c>
      <c r="E217" s="3">
        <v>9.9499999999999993</v>
      </c>
      <c r="F217" s="3" t="s">
        <v>14</v>
      </c>
      <c r="G217" s="3" t="s">
        <v>23</v>
      </c>
      <c r="H217" t="s">
        <v>21</v>
      </c>
      <c r="I217">
        <v>222</v>
      </c>
      <c r="J217" t="e" vm="9">
        <v>#VALUE!</v>
      </c>
      <c r="K217" t="e" cm="1" vm="4">
        <f t="array" aca="1" ref="K217" ca="1">_FV(Tabella2[[#This Row],[City]],"Paese/area geografica",TRUE)</f>
        <v>#VALUE!</v>
      </c>
      <c r="L217">
        <f>Tabella2[[#This Row],[Quantity]]*Tabella2[[#This Row],[Price]]</f>
        <v>2208.8999999999996</v>
      </c>
    </row>
    <row r="218" spans="2:12" x14ac:dyDescent="0.3">
      <c r="B218" s="3">
        <v>10672</v>
      </c>
      <c r="C218" s="4">
        <v>44916</v>
      </c>
      <c r="D218" t="s">
        <v>9</v>
      </c>
      <c r="E218" s="3">
        <v>3.49</v>
      </c>
      <c r="F218" s="3" t="s">
        <v>14</v>
      </c>
      <c r="G218" s="3" t="s">
        <v>23</v>
      </c>
      <c r="H218" t="s">
        <v>21</v>
      </c>
      <c r="I218">
        <v>631</v>
      </c>
      <c r="J218" t="e" vm="9">
        <v>#VALUE!</v>
      </c>
      <c r="K218" t="e" cm="1" vm="4">
        <f t="array" aca="1" ref="K218" ca="1">_FV(Tabella2[[#This Row],[City]],"Paese/area geografica",TRUE)</f>
        <v>#VALUE!</v>
      </c>
      <c r="L218">
        <f>Tabella2[[#This Row],[Quantity]]*Tabella2[[#This Row],[Price]]</f>
        <v>2202.19</v>
      </c>
    </row>
    <row r="219" spans="2:12" x14ac:dyDescent="0.3">
      <c r="B219" s="3">
        <v>10673</v>
      </c>
      <c r="C219" s="4">
        <v>44916</v>
      </c>
      <c r="D219" t="s">
        <v>12</v>
      </c>
      <c r="E219" s="3">
        <v>2.95</v>
      </c>
      <c r="F219" s="3" t="s">
        <v>14</v>
      </c>
      <c r="G219" s="3" t="s">
        <v>23</v>
      </c>
      <c r="H219" t="s">
        <v>21</v>
      </c>
      <c r="I219">
        <v>746</v>
      </c>
      <c r="J219" t="e" vm="9">
        <v>#VALUE!</v>
      </c>
      <c r="K219" t="e" cm="1" vm="4">
        <f t="array" aca="1" ref="K219" ca="1">_FV(Tabella2[[#This Row],[City]],"Paese/area geografica",TRUE)</f>
        <v>#VALUE!</v>
      </c>
      <c r="L219">
        <f>Tabella2[[#This Row],[Quantity]]*Tabella2[[#This Row],[Price]]</f>
        <v>2200.7000000000003</v>
      </c>
    </row>
    <row r="220" spans="2:12" x14ac:dyDescent="0.3">
      <c r="B220" s="3">
        <v>10674</v>
      </c>
      <c r="C220" s="4">
        <v>44916</v>
      </c>
      <c r="D220" t="s">
        <v>13</v>
      </c>
      <c r="E220" s="3">
        <v>4.99</v>
      </c>
      <c r="F220" s="3" t="s">
        <v>14</v>
      </c>
      <c r="G220" s="3" t="s">
        <v>23</v>
      </c>
      <c r="H220" t="s">
        <v>21</v>
      </c>
      <c r="I220">
        <v>201</v>
      </c>
      <c r="J220" t="e" vm="9">
        <v>#VALUE!</v>
      </c>
      <c r="K220" t="e" cm="1" vm="4">
        <f t="array" aca="1" ref="K220" ca="1">_FV(Tabella2[[#This Row],[City]],"Paese/area geografica",TRUE)</f>
        <v>#VALUE!</v>
      </c>
      <c r="L220">
        <f>Tabella2[[#This Row],[Quantity]]*Tabella2[[#This Row],[Price]]</f>
        <v>1002.99</v>
      </c>
    </row>
    <row r="221" spans="2:12" x14ac:dyDescent="0.3">
      <c r="B221" s="3">
        <v>10675</v>
      </c>
      <c r="C221" s="4">
        <v>44917</v>
      </c>
      <c r="D221" t="s">
        <v>15</v>
      </c>
      <c r="E221" s="3">
        <v>12.99</v>
      </c>
      <c r="F221" s="3" t="s">
        <v>14</v>
      </c>
      <c r="G221" s="3" t="s">
        <v>23</v>
      </c>
      <c r="H221" t="s">
        <v>21</v>
      </c>
      <c r="I221">
        <v>678</v>
      </c>
      <c r="J221" t="e" vm="9">
        <v>#VALUE!</v>
      </c>
      <c r="K221" t="e" cm="1" vm="4">
        <f t="array" aca="1" ref="K221" ca="1">_FV(Tabella2[[#This Row],[City]],"Paese/area geografica",TRUE)</f>
        <v>#VALUE!</v>
      </c>
      <c r="L221">
        <f>Tabella2[[#This Row],[Quantity]]*Tabella2[[#This Row],[Price]]</f>
        <v>8807.2199999999993</v>
      </c>
    </row>
    <row r="222" spans="2:12" x14ac:dyDescent="0.3">
      <c r="B222" s="3">
        <v>10676</v>
      </c>
      <c r="C222" s="4">
        <v>44917</v>
      </c>
      <c r="D222" t="s">
        <v>18</v>
      </c>
      <c r="E222" s="3">
        <v>9.9499999999999993</v>
      </c>
      <c r="F222" s="3" t="s">
        <v>14</v>
      </c>
      <c r="G222" s="3" t="s">
        <v>23</v>
      </c>
      <c r="H222" t="s">
        <v>21</v>
      </c>
      <c r="I222">
        <v>242</v>
      </c>
      <c r="J222" t="e" vm="9">
        <v>#VALUE!</v>
      </c>
      <c r="K222" t="e" cm="1" vm="4">
        <f t="array" aca="1" ref="K222" ca="1">_FV(Tabella2[[#This Row],[City]],"Paese/area geografica",TRUE)</f>
        <v>#VALUE!</v>
      </c>
      <c r="L222">
        <f>Tabella2[[#This Row],[Quantity]]*Tabella2[[#This Row],[Price]]</f>
        <v>2407.8999999999996</v>
      </c>
    </row>
    <row r="223" spans="2:12" x14ac:dyDescent="0.3">
      <c r="B223" s="3">
        <v>10677</v>
      </c>
      <c r="C223" s="4">
        <v>44917</v>
      </c>
      <c r="D223" t="s">
        <v>9</v>
      </c>
      <c r="E223" s="3">
        <v>3.49</v>
      </c>
      <c r="F223" s="3" t="s">
        <v>14</v>
      </c>
      <c r="G223" s="3" t="s">
        <v>23</v>
      </c>
      <c r="H223" t="s">
        <v>21</v>
      </c>
      <c r="I223">
        <v>631</v>
      </c>
      <c r="J223" t="e" vm="9">
        <v>#VALUE!</v>
      </c>
      <c r="K223" t="e" cm="1" vm="4">
        <f t="array" aca="1" ref="K223" ca="1">_FV(Tabella2[[#This Row],[City]],"Paese/area geografica",TRUE)</f>
        <v>#VALUE!</v>
      </c>
      <c r="L223">
        <f>Tabella2[[#This Row],[Quantity]]*Tabella2[[#This Row],[Price]]</f>
        <v>2202.19</v>
      </c>
    </row>
    <row r="224" spans="2:12" x14ac:dyDescent="0.3">
      <c r="B224" s="3">
        <v>10678</v>
      </c>
      <c r="C224" s="4">
        <v>44917</v>
      </c>
      <c r="D224" t="s">
        <v>12</v>
      </c>
      <c r="E224" s="3">
        <v>2.95</v>
      </c>
      <c r="F224" s="3" t="s">
        <v>14</v>
      </c>
      <c r="G224" s="3" t="s">
        <v>23</v>
      </c>
      <c r="H224" t="s">
        <v>21</v>
      </c>
      <c r="I224">
        <v>746</v>
      </c>
      <c r="J224" t="e" vm="9">
        <v>#VALUE!</v>
      </c>
      <c r="K224" t="e" cm="1" vm="4">
        <f t="array" aca="1" ref="K224" ca="1">_FV(Tabella2[[#This Row],[City]],"Paese/area geografica",TRUE)</f>
        <v>#VALUE!</v>
      </c>
      <c r="L224">
        <f>Tabella2[[#This Row],[Quantity]]*Tabella2[[#This Row],[Price]]</f>
        <v>2200.7000000000003</v>
      </c>
    </row>
    <row r="225" spans="2:12" x14ac:dyDescent="0.3">
      <c r="B225" s="3">
        <v>10679</v>
      </c>
      <c r="C225" s="4">
        <v>44917</v>
      </c>
      <c r="D225" t="s">
        <v>13</v>
      </c>
      <c r="E225" s="3">
        <v>4.99</v>
      </c>
      <c r="F225" s="3" t="s">
        <v>14</v>
      </c>
      <c r="G225" s="3" t="s">
        <v>23</v>
      </c>
      <c r="H225" t="s">
        <v>21</v>
      </c>
      <c r="I225">
        <v>201</v>
      </c>
      <c r="J225" t="e" vm="9">
        <v>#VALUE!</v>
      </c>
      <c r="K225" t="e" cm="1" vm="4">
        <f t="array" aca="1" ref="K225" ca="1">_FV(Tabella2[[#This Row],[City]],"Paese/area geografica",TRUE)</f>
        <v>#VALUE!</v>
      </c>
      <c r="L225">
        <f>Tabella2[[#This Row],[Quantity]]*Tabella2[[#This Row],[Price]]</f>
        <v>1002.99</v>
      </c>
    </row>
    <row r="226" spans="2:12" x14ac:dyDescent="0.3">
      <c r="B226" s="3">
        <v>10680</v>
      </c>
      <c r="C226" s="4">
        <v>44918</v>
      </c>
      <c r="D226" t="s">
        <v>15</v>
      </c>
      <c r="E226" s="3">
        <v>12.99</v>
      </c>
      <c r="F226" s="3" t="s">
        <v>14</v>
      </c>
      <c r="G226" s="3" t="s">
        <v>23</v>
      </c>
      <c r="H226" t="s">
        <v>21</v>
      </c>
      <c r="I226">
        <v>647</v>
      </c>
      <c r="J226" t="e" vm="9">
        <v>#VALUE!</v>
      </c>
      <c r="K226" t="e" cm="1" vm="4">
        <f t="array" aca="1" ref="K226" ca="1">_FV(Tabella2[[#This Row],[City]],"Paese/area geografica",TRUE)</f>
        <v>#VALUE!</v>
      </c>
      <c r="L226">
        <f>Tabella2[[#This Row],[Quantity]]*Tabella2[[#This Row],[Price]]</f>
        <v>8404.5300000000007</v>
      </c>
    </row>
    <row r="227" spans="2:12" x14ac:dyDescent="0.3">
      <c r="B227" s="3">
        <v>10681</v>
      </c>
      <c r="C227" s="4">
        <v>44918</v>
      </c>
      <c r="D227" t="s">
        <v>18</v>
      </c>
      <c r="E227" s="3">
        <v>9.9499999999999993</v>
      </c>
      <c r="F227" s="3" t="s">
        <v>14</v>
      </c>
      <c r="G227" s="3" t="s">
        <v>23</v>
      </c>
      <c r="H227" t="s">
        <v>21</v>
      </c>
      <c r="I227">
        <v>242</v>
      </c>
      <c r="J227" t="e" vm="9">
        <v>#VALUE!</v>
      </c>
      <c r="K227" t="e" cm="1" vm="4">
        <f t="array" aca="1" ref="K227" ca="1">_FV(Tabella2[[#This Row],[City]],"Paese/area geografica",TRUE)</f>
        <v>#VALUE!</v>
      </c>
      <c r="L227">
        <f>Tabella2[[#This Row],[Quantity]]*Tabella2[[#This Row],[Price]]</f>
        <v>2407.8999999999996</v>
      </c>
    </row>
    <row r="228" spans="2:12" x14ac:dyDescent="0.3">
      <c r="B228" s="3">
        <v>10682</v>
      </c>
      <c r="C228" s="4">
        <v>44918</v>
      </c>
      <c r="D228" t="s">
        <v>9</v>
      </c>
      <c r="E228" s="3">
        <v>3.49</v>
      </c>
      <c r="F228" s="3" t="s">
        <v>14</v>
      </c>
      <c r="G228" s="3" t="s">
        <v>23</v>
      </c>
      <c r="H228" t="s">
        <v>21</v>
      </c>
      <c r="I228">
        <v>631</v>
      </c>
      <c r="J228" t="e" vm="9">
        <v>#VALUE!</v>
      </c>
      <c r="K228" t="e" cm="1" vm="4">
        <f t="array" aca="1" ref="K228" ca="1">_FV(Tabella2[[#This Row],[City]],"Paese/area geografica",TRUE)</f>
        <v>#VALUE!</v>
      </c>
      <c r="L228">
        <f>Tabella2[[#This Row],[Quantity]]*Tabella2[[#This Row],[Price]]</f>
        <v>2202.19</v>
      </c>
    </row>
    <row r="229" spans="2:12" x14ac:dyDescent="0.3">
      <c r="B229" s="3">
        <v>10683</v>
      </c>
      <c r="C229" s="4">
        <v>44918</v>
      </c>
      <c r="D229" t="s">
        <v>12</v>
      </c>
      <c r="E229" s="3">
        <v>2.95</v>
      </c>
      <c r="F229" s="3" t="s">
        <v>14</v>
      </c>
      <c r="G229" s="3" t="s">
        <v>23</v>
      </c>
      <c r="H229" t="s">
        <v>21</v>
      </c>
      <c r="I229">
        <v>678</v>
      </c>
      <c r="J229" t="e" vm="9">
        <v>#VALUE!</v>
      </c>
      <c r="K229" t="e" cm="1" vm="4">
        <f t="array" aca="1" ref="K229" ca="1">_FV(Tabella2[[#This Row],[City]],"Paese/area geografica",TRUE)</f>
        <v>#VALUE!</v>
      </c>
      <c r="L229">
        <f>Tabella2[[#This Row],[Quantity]]*Tabella2[[#This Row],[Price]]</f>
        <v>2000.1000000000001</v>
      </c>
    </row>
    <row r="230" spans="2:12" x14ac:dyDescent="0.3">
      <c r="B230" s="3">
        <v>10684</v>
      </c>
      <c r="C230" s="4">
        <v>44918</v>
      </c>
      <c r="D230" t="s">
        <v>13</v>
      </c>
      <c r="E230" s="3">
        <v>4.99</v>
      </c>
      <c r="F230" s="3" t="s">
        <v>14</v>
      </c>
      <c r="G230" s="3" t="s">
        <v>23</v>
      </c>
      <c r="H230" t="s">
        <v>21</v>
      </c>
      <c r="I230">
        <v>201</v>
      </c>
      <c r="J230" t="e" vm="9">
        <v>#VALUE!</v>
      </c>
      <c r="K230" t="e" cm="1" vm="4">
        <f t="array" aca="1" ref="K230" ca="1">_FV(Tabella2[[#This Row],[City]],"Paese/area geografica",TRUE)</f>
        <v>#VALUE!</v>
      </c>
      <c r="L230">
        <f>Tabella2[[#This Row],[Quantity]]*Tabella2[[#This Row],[Price]]</f>
        <v>1002.99</v>
      </c>
    </row>
    <row r="231" spans="2:12" x14ac:dyDescent="0.3">
      <c r="B231" s="3">
        <v>10685</v>
      </c>
      <c r="C231" s="4">
        <v>44919</v>
      </c>
      <c r="D231" t="s">
        <v>15</v>
      </c>
      <c r="E231" s="3">
        <v>12.99</v>
      </c>
      <c r="F231" s="3" t="s">
        <v>14</v>
      </c>
      <c r="G231" s="3" t="s">
        <v>23</v>
      </c>
      <c r="H231" t="s">
        <v>21</v>
      </c>
      <c r="I231">
        <v>678</v>
      </c>
      <c r="J231" t="e" vm="9">
        <v>#VALUE!</v>
      </c>
      <c r="K231" t="e" cm="1" vm="4">
        <f t="array" aca="1" ref="K231" ca="1">_FV(Tabella2[[#This Row],[City]],"Paese/area geografica",TRUE)</f>
        <v>#VALUE!</v>
      </c>
      <c r="L231">
        <f>Tabella2[[#This Row],[Quantity]]*Tabella2[[#This Row],[Price]]</f>
        <v>8807.2199999999993</v>
      </c>
    </row>
    <row r="232" spans="2:12" x14ac:dyDescent="0.3">
      <c r="B232" s="3">
        <v>10686</v>
      </c>
      <c r="C232" s="4">
        <v>44919</v>
      </c>
      <c r="D232" t="s">
        <v>18</v>
      </c>
      <c r="E232" s="3">
        <v>9.9499999999999993</v>
      </c>
      <c r="F232" s="3" t="s">
        <v>14</v>
      </c>
      <c r="G232" s="3" t="s">
        <v>23</v>
      </c>
      <c r="H232" t="s">
        <v>21</v>
      </c>
      <c r="I232">
        <v>242</v>
      </c>
      <c r="J232" t="e" vm="9">
        <v>#VALUE!</v>
      </c>
      <c r="K232" t="e" cm="1" vm="4">
        <f t="array" aca="1" ref="K232" ca="1">_FV(Tabella2[[#This Row],[City]],"Paese/area geografica",TRUE)</f>
        <v>#VALUE!</v>
      </c>
      <c r="L232">
        <f>Tabella2[[#This Row],[Quantity]]*Tabella2[[#This Row],[Price]]</f>
        <v>2407.8999999999996</v>
      </c>
    </row>
    <row r="233" spans="2:12" x14ac:dyDescent="0.3">
      <c r="B233" s="3">
        <v>10687</v>
      </c>
      <c r="C233" s="4">
        <v>44919</v>
      </c>
      <c r="D233" t="s">
        <v>9</v>
      </c>
      <c r="E233" s="3">
        <v>3.49</v>
      </c>
      <c r="F233" s="3" t="s">
        <v>14</v>
      </c>
      <c r="G233" s="3" t="s">
        <v>23</v>
      </c>
      <c r="H233" t="s">
        <v>17</v>
      </c>
      <c r="I233">
        <v>631</v>
      </c>
      <c r="J233" t="e" vm="10">
        <v>#VALUE!</v>
      </c>
      <c r="K233" t="e" cm="1" vm="2">
        <f t="array" aca="1" ref="K233" ca="1">_FV(Tabella2[[#This Row],[City]],"Paese/area geografica",TRUE)</f>
        <v>#VALUE!</v>
      </c>
      <c r="L233">
        <f>Tabella2[[#This Row],[Quantity]]*Tabella2[[#This Row],[Price]]</f>
        <v>2202.19</v>
      </c>
    </row>
    <row r="234" spans="2:12" x14ac:dyDescent="0.3">
      <c r="B234" s="3">
        <v>10688</v>
      </c>
      <c r="C234" s="4">
        <v>44919</v>
      </c>
      <c r="D234" t="s">
        <v>12</v>
      </c>
      <c r="E234" s="3">
        <v>2.95</v>
      </c>
      <c r="F234" s="3" t="s">
        <v>14</v>
      </c>
      <c r="G234" s="3" t="s">
        <v>23</v>
      </c>
      <c r="H234" t="s">
        <v>17</v>
      </c>
      <c r="I234">
        <v>678</v>
      </c>
      <c r="J234" t="e" vm="10">
        <v>#VALUE!</v>
      </c>
      <c r="K234" t="e" cm="1" vm="2">
        <f t="array" aca="1" ref="K234" ca="1">_FV(Tabella2[[#This Row],[City]],"Paese/area geografica",TRUE)</f>
        <v>#VALUE!</v>
      </c>
      <c r="L234">
        <f>Tabella2[[#This Row],[Quantity]]*Tabella2[[#This Row],[Price]]</f>
        <v>2000.1000000000001</v>
      </c>
    </row>
    <row r="235" spans="2:12" x14ac:dyDescent="0.3">
      <c r="B235" s="3">
        <v>10689</v>
      </c>
      <c r="C235" s="4">
        <v>44919</v>
      </c>
      <c r="D235" t="s">
        <v>13</v>
      </c>
      <c r="E235" s="3">
        <v>4.99</v>
      </c>
      <c r="F235" s="3" t="s">
        <v>14</v>
      </c>
      <c r="G235" s="3" t="s">
        <v>23</v>
      </c>
      <c r="H235" t="s">
        <v>17</v>
      </c>
      <c r="I235">
        <v>201</v>
      </c>
      <c r="J235" t="e" vm="10">
        <v>#VALUE!</v>
      </c>
      <c r="K235" t="e" cm="1" vm="2">
        <f t="array" aca="1" ref="K235" ca="1">_FV(Tabella2[[#This Row],[City]],"Paese/area geografica",TRUE)</f>
        <v>#VALUE!</v>
      </c>
      <c r="L235">
        <f>Tabella2[[#This Row],[Quantity]]*Tabella2[[#This Row],[Price]]</f>
        <v>1002.99</v>
      </c>
    </row>
    <row r="236" spans="2:12" x14ac:dyDescent="0.3">
      <c r="B236" s="3">
        <v>10690</v>
      </c>
      <c r="C236" s="4">
        <v>44920</v>
      </c>
      <c r="D236" t="s">
        <v>15</v>
      </c>
      <c r="E236" s="3">
        <v>12.99</v>
      </c>
      <c r="F236" s="3" t="s">
        <v>14</v>
      </c>
      <c r="G236" s="3" t="s">
        <v>23</v>
      </c>
      <c r="H236" t="s">
        <v>17</v>
      </c>
      <c r="I236">
        <v>678</v>
      </c>
      <c r="J236" t="e" vm="10">
        <v>#VALUE!</v>
      </c>
      <c r="K236" t="e" cm="1" vm="2">
        <f t="array" aca="1" ref="K236" ca="1">_FV(Tabella2[[#This Row],[City]],"Paese/area geografica",TRUE)</f>
        <v>#VALUE!</v>
      </c>
      <c r="L236">
        <f>Tabella2[[#This Row],[Quantity]]*Tabella2[[#This Row],[Price]]</f>
        <v>8807.2199999999993</v>
      </c>
    </row>
    <row r="237" spans="2:12" x14ac:dyDescent="0.3">
      <c r="B237" s="3">
        <v>10691</v>
      </c>
      <c r="C237" s="4">
        <v>44920</v>
      </c>
      <c r="D237" t="s">
        <v>18</v>
      </c>
      <c r="E237" s="3">
        <v>9.9499999999999993</v>
      </c>
      <c r="F237" s="3" t="s">
        <v>14</v>
      </c>
      <c r="G237" s="3" t="s">
        <v>23</v>
      </c>
      <c r="H237" t="s">
        <v>17</v>
      </c>
      <c r="I237">
        <v>262</v>
      </c>
      <c r="J237" t="e" vm="10">
        <v>#VALUE!</v>
      </c>
      <c r="K237" t="e" cm="1" vm="2">
        <f t="array" aca="1" ref="K237" ca="1">_FV(Tabella2[[#This Row],[City]],"Paese/area geografica",TRUE)</f>
        <v>#VALUE!</v>
      </c>
      <c r="L237">
        <f>Tabella2[[#This Row],[Quantity]]*Tabella2[[#This Row],[Price]]</f>
        <v>2606.8999999999996</v>
      </c>
    </row>
    <row r="238" spans="2:12" x14ac:dyDescent="0.3">
      <c r="B238" s="3">
        <v>10692</v>
      </c>
      <c r="C238" s="4">
        <v>44920</v>
      </c>
      <c r="D238" t="s">
        <v>9</v>
      </c>
      <c r="E238" s="3">
        <v>3.49</v>
      </c>
      <c r="F238" s="3" t="s">
        <v>14</v>
      </c>
      <c r="G238" s="3" t="s">
        <v>23</v>
      </c>
      <c r="H238" t="s">
        <v>17</v>
      </c>
      <c r="I238">
        <v>631</v>
      </c>
      <c r="J238" t="e" vm="10">
        <v>#VALUE!</v>
      </c>
      <c r="K238" t="e" cm="1" vm="2">
        <f t="array" aca="1" ref="K238" ca="1">_FV(Tabella2[[#This Row],[City]],"Paese/area geografica",TRUE)</f>
        <v>#VALUE!</v>
      </c>
      <c r="L238">
        <f>Tabella2[[#This Row],[Quantity]]*Tabella2[[#This Row],[Price]]</f>
        <v>2202.19</v>
      </c>
    </row>
    <row r="239" spans="2:12" x14ac:dyDescent="0.3">
      <c r="B239" s="3">
        <v>10693</v>
      </c>
      <c r="C239" s="4">
        <v>44920</v>
      </c>
      <c r="D239" t="s">
        <v>12</v>
      </c>
      <c r="E239" s="3">
        <v>2.95</v>
      </c>
      <c r="F239" s="3" t="s">
        <v>14</v>
      </c>
      <c r="G239" s="3" t="s">
        <v>23</v>
      </c>
      <c r="H239" t="s">
        <v>17</v>
      </c>
      <c r="I239">
        <v>678</v>
      </c>
      <c r="J239" t="e" vm="10">
        <v>#VALUE!</v>
      </c>
      <c r="K239" t="e" cm="1" vm="2">
        <f t="array" aca="1" ref="K239" ca="1">_FV(Tabella2[[#This Row],[City]],"Paese/area geografica",TRUE)</f>
        <v>#VALUE!</v>
      </c>
      <c r="L239">
        <f>Tabella2[[#This Row],[Quantity]]*Tabella2[[#This Row],[Price]]</f>
        <v>2000.1000000000001</v>
      </c>
    </row>
    <row r="240" spans="2:12" x14ac:dyDescent="0.3">
      <c r="B240" s="3">
        <v>10694</v>
      </c>
      <c r="C240" s="4">
        <v>44920</v>
      </c>
      <c r="D240" t="s">
        <v>13</v>
      </c>
      <c r="E240" s="3">
        <v>4.99</v>
      </c>
      <c r="F240" s="3" t="s">
        <v>14</v>
      </c>
      <c r="G240" s="3" t="s">
        <v>23</v>
      </c>
      <c r="H240" t="s">
        <v>17</v>
      </c>
      <c r="I240">
        <v>201</v>
      </c>
      <c r="J240" t="e" vm="10">
        <v>#VALUE!</v>
      </c>
      <c r="K240" t="e" cm="1" vm="2">
        <f t="array" aca="1" ref="K240" ca="1">_FV(Tabella2[[#This Row],[City]],"Paese/area geografica",TRUE)</f>
        <v>#VALUE!</v>
      </c>
      <c r="L240">
        <f>Tabella2[[#This Row],[Quantity]]*Tabella2[[#This Row],[Price]]</f>
        <v>1002.99</v>
      </c>
    </row>
    <row r="241" spans="2:12" x14ac:dyDescent="0.3">
      <c r="B241" s="3">
        <v>10695</v>
      </c>
      <c r="C241" s="4">
        <v>44921</v>
      </c>
      <c r="D241" t="s">
        <v>15</v>
      </c>
      <c r="E241" s="3">
        <v>12.99</v>
      </c>
      <c r="F241" s="3" t="s">
        <v>14</v>
      </c>
      <c r="G241" s="3" t="s">
        <v>23</v>
      </c>
      <c r="H241" t="s">
        <v>17</v>
      </c>
      <c r="I241">
        <v>693</v>
      </c>
      <c r="J241" t="e" vm="10">
        <v>#VALUE!</v>
      </c>
      <c r="K241" t="e" cm="1" vm="2">
        <f t="array" aca="1" ref="K241" ca="1">_FV(Tabella2[[#This Row],[City]],"Paese/area geografica",TRUE)</f>
        <v>#VALUE!</v>
      </c>
      <c r="L241">
        <f>Tabella2[[#This Row],[Quantity]]*Tabella2[[#This Row],[Price]]</f>
        <v>9002.07</v>
      </c>
    </row>
    <row r="242" spans="2:12" x14ac:dyDescent="0.3">
      <c r="B242" s="3">
        <v>10696</v>
      </c>
      <c r="C242" s="4">
        <v>44921</v>
      </c>
      <c r="D242" t="s">
        <v>18</v>
      </c>
      <c r="E242" s="3">
        <v>9.9499999999999993</v>
      </c>
      <c r="F242" s="3" t="s">
        <v>14</v>
      </c>
      <c r="G242" s="3" t="s">
        <v>23</v>
      </c>
      <c r="H242" t="s">
        <v>17</v>
      </c>
      <c r="I242">
        <v>282</v>
      </c>
      <c r="J242" t="e" vm="10">
        <v>#VALUE!</v>
      </c>
      <c r="K242" t="e" cm="1" vm="2">
        <f t="array" aca="1" ref="K242" ca="1">_FV(Tabella2[[#This Row],[City]],"Paese/area geografica",TRUE)</f>
        <v>#VALUE!</v>
      </c>
      <c r="L242">
        <f>Tabella2[[#This Row],[Quantity]]*Tabella2[[#This Row],[Price]]</f>
        <v>2805.8999999999996</v>
      </c>
    </row>
    <row r="243" spans="2:12" x14ac:dyDescent="0.3">
      <c r="B243" s="3">
        <v>10697</v>
      </c>
      <c r="C243" s="4">
        <v>44921</v>
      </c>
      <c r="D243" t="s">
        <v>9</v>
      </c>
      <c r="E243" s="3">
        <v>3.49</v>
      </c>
      <c r="F243" s="3" t="s">
        <v>14</v>
      </c>
      <c r="G243" s="3" t="s">
        <v>23</v>
      </c>
      <c r="H243" t="s">
        <v>17</v>
      </c>
      <c r="I243">
        <v>631</v>
      </c>
      <c r="J243" t="e" vm="10">
        <v>#VALUE!</v>
      </c>
      <c r="K243" t="e" cm="1" vm="2">
        <f t="array" aca="1" ref="K243" ca="1">_FV(Tabella2[[#This Row],[City]],"Paese/area geografica",TRUE)</f>
        <v>#VALUE!</v>
      </c>
      <c r="L243">
        <f>Tabella2[[#This Row],[Quantity]]*Tabella2[[#This Row],[Price]]</f>
        <v>2202.19</v>
      </c>
    </row>
    <row r="244" spans="2:12" x14ac:dyDescent="0.3">
      <c r="B244" s="3">
        <v>10698</v>
      </c>
      <c r="C244" s="4">
        <v>44921</v>
      </c>
      <c r="D244" t="s">
        <v>12</v>
      </c>
      <c r="E244" s="3">
        <v>2.95</v>
      </c>
      <c r="F244" s="3" t="s">
        <v>14</v>
      </c>
      <c r="G244" s="3" t="s">
        <v>23</v>
      </c>
      <c r="H244" t="s">
        <v>17</v>
      </c>
      <c r="I244">
        <v>678</v>
      </c>
      <c r="J244" t="e" vm="10">
        <v>#VALUE!</v>
      </c>
      <c r="K244" t="e" cm="1" vm="2">
        <f t="array" aca="1" ref="K244" ca="1">_FV(Tabella2[[#This Row],[City]],"Paese/area geografica",TRUE)</f>
        <v>#VALUE!</v>
      </c>
      <c r="L244">
        <f>Tabella2[[#This Row],[Quantity]]*Tabella2[[#This Row],[Price]]</f>
        <v>2000.1000000000001</v>
      </c>
    </row>
    <row r="245" spans="2:12" x14ac:dyDescent="0.3">
      <c r="B245" s="3">
        <v>10699</v>
      </c>
      <c r="C245" s="4">
        <v>44921</v>
      </c>
      <c r="D245" t="s">
        <v>13</v>
      </c>
      <c r="E245" s="3">
        <v>4.99</v>
      </c>
      <c r="F245" s="3" t="s">
        <v>14</v>
      </c>
      <c r="G245" s="3" t="s">
        <v>23</v>
      </c>
      <c r="H245" t="s">
        <v>17</v>
      </c>
      <c r="I245">
        <v>201</v>
      </c>
      <c r="J245" t="e" vm="10">
        <v>#VALUE!</v>
      </c>
      <c r="K245" t="e" cm="1" vm="2">
        <f t="array" aca="1" ref="K245" ca="1">_FV(Tabella2[[#This Row],[City]],"Paese/area geografica",TRUE)</f>
        <v>#VALUE!</v>
      </c>
      <c r="L245">
        <f>Tabella2[[#This Row],[Quantity]]*Tabella2[[#This Row],[Price]]</f>
        <v>1002.99</v>
      </c>
    </row>
    <row r="246" spans="2:12" x14ac:dyDescent="0.3">
      <c r="B246" s="3">
        <v>10700</v>
      </c>
      <c r="C246" s="4">
        <v>44922</v>
      </c>
      <c r="D246" t="s">
        <v>15</v>
      </c>
      <c r="E246" s="3">
        <v>12.99</v>
      </c>
      <c r="F246" s="3" t="s">
        <v>14</v>
      </c>
      <c r="G246" s="3" t="s">
        <v>23</v>
      </c>
      <c r="H246" t="s">
        <v>17</v>
      </c>
      <c r="I246">
        <v>693</v>
      </c>
      <c r="J246" t="e" vm="10">
        <v>#VALUE!</v>
      </c>
      <c r="K246" t="e" cm="1" vm="2">
        <f t="array" aca="1" ref="K246" ca="1">_FV(Tabella2[[#This Row],[City]],"Paese/area geografica",TRUE)</f>
        <v>#VALUE!</v>
      </c>
      <c r="L246">
        <f>Tabella2[[#This Row],[Quantity]]*Tabella2[[#This Row],[Price]]</f>
        <v>9002.07</v>
      </c>
    </row>
    <row r="247" spans="2:12" x14ac:dyDescent="0.3">
      <c r="B247" s="3">
        <v>10701</v>
      </c>
      <c r="C247" s="4">
        <v>44922</v>
      </c>
      <c r="D247" t="s">
        <v>18</v>
      </c>
      <c r="E247" s="3">
        <v>9.9499999999999993</v>
      </c>
      <c r="F247" s="3" t="s">
        <v>14</v>
      </c>
      <c r="G247" s="3" t="s">
        <v>23</v>
      </c>
      <c r="H247" t="s">
        <v>17</v>
      </c>
      <c r="I247">
        <v>282</v>
      </c>
      <c r="J247" t="e" vm="10">
        <v>#VALUE!</v>
      </c>
      <c r="K247" t="e" cm="1" vm="2">
        <f t="array" aca="1" ref="K247" ca="1">_FV(Tabella2[[#This Row],[City]],"Paese/area geografica",TRUE)</f>
        <v>#VALUE!</v>
      </c>
      <c r="L247">
        <f>Tabella2[[#This Row],[Quantity]]*Tabella2[[#This Row],[Price]]</f>
        <v>2805.8999999999996</v>
      </c>
    </row>
    <row r="248" spans="2:12" x14ac:dyDescent="0.3">
      <c r="B248" s="3">
        <v>10702</v>
      </c>
      <c r="C248" s="4">
        <v>44922</v>
      </c>
      <c r="D248" t="s">
        <v>9</v>
      </c>
      <c r="E248" s="3">
        <v>3.49</v>
      </c>
      <c r="F248" s="3" t="s">
        <v>14</v>
      </c>
      <c r="G248" s="3" t="s">
        <v>23</v>
      </c>
      <c r="H248" t="s">
        <v>17</v>
      </c>
      <c r="I248">
        <v>631</v>
      </c>
      <c r="J248" t="e" vm="10">
        <v>#VALUE!</v>
      </c>
      <c r="K248" t="e" cm="1" vm="2">
        <f t="array" aca="1" ref="K248" ca="1">_FV(Tabella2[[#This Row],[City]],"Paese/area geografica",TRUE)</f>
        <v>#VALUE!</v>
      </c>
      <c r="L248">
        <f>Tabella2[[#This Row],[Quantity]]*Tabella2[[#This Row],[Price]]</f>
        <v>2202.19</v>
      </c>
    </row>
    <row r="249" spans="2:12" x14ac:dyDescent="0.3">
      <c r="B249" s="3">
        <v>10703</v>
      </c>
      <c r="C249" s="4">
        <v>44922</v>
      </c>
      <c r="D249" t="s">
        <v>12</v>
      </c>
      <c r="E249" s="3">
        <v>2.95</v>
      </c>
      <c r="F249" s="3" t="s">
        <v>14</v>
      </c>
      <c r="G249" s="3" t="s">
        <v>11</v>
      </c>
      <c r="H249" t="s">
        <v>17</v>
      </c>
      <c r="I249">
        <v>678</v>
      </c>
      <c r="J249" t="e" vm="10">
        <v>#VALUE!</v>
      </c>
      <c r="K249" t="e" cm="1" vm="2">
        <f t="array" aca="1" ref="K249" ca="1">_FV(Tabella2[[#This Row],[City]],"Paese/area geografica",TRUE)</f>
        <v>#VALUE!</v>
      </c>
      <c r="L249">
        <f>Tabella2[[#This Row],[Quantity]]*Tabella2[[#This Row],[Price]]</f>
        <v>2000.1000000000001</v>
      </c>
    </row>
    <row r="250" spans="2:12" x14ac:dyDescent="0.3">
      <c r="B250" s="3">
        <v>10704</v>
      </c>
      <c r="C250" s="4">
        <v>44922</v>
      </c>
      <c r="D250" t="s">
        <v>13</v>
      </c>
      <c r="E250" s="3">
        <v>4.99</v>
      </c>
      <c r="F250" s="3" t="s">
        <v>22</v>
      </c>
      <c r="G250" s="3" t="s">
        <v>11</v>
      </c>
      <c r="H250" t="s">
        <v>17</v>
      </c>
      <c r="I250">
        <v>201</v>
      </c>
      <c r="J250" t="e" vm="10">
        <v>#VALUE!</v>
      </c>
      <c r="K250" t="e" cm="1" vm="2">
        <f t="array" aca="1" ref="K250" ca="1">_FV(Tabella2[[#This Row],[City]],"Paese/area geografica",TRUE)</f>
        <v>#VALUE!</v>
      </c>
      <c r="L250">
        <f>Tabella2[[#This Row],[Quantity]]*Tabella2[[#This Row],[Price]]</f>
        <v>1002.99</v>
      </c>
    </row>
    <row r="251" spans="2:12" x14ac:dyDescent="0.3">
      <c r="B251" s="3">
        <v>10705</v>
      </c>
      <c r="C251" s="4">
        <v>44923</v>
      </c>
      <c r="D251" t="s">
        <v>15</v>
      </c>
      <c r="E251" s="3">
        <v>12.99</v>
      </c>
      <c r="F251" s="3" t="s">
        <v>22</v>
      </c>
      <c r="G251" s="3" t="s">
        <v>11</v>
      </c>
      <c r="H251" t="s">
        <v>17</v>
      </c>
      <c r="I251">
        <v>724</v>
      </c>
      <c r="J251" t="e" vm="10">
        <v>#VALUE!</v>
      </c>
      <c r="K251" t="e" cm="1" vm="2">
        <f t="array" aca="1" ref="K251" ca="1">_FV(Tabella2[[#This Row],[City]],"Paese/area geografica",TRUE)</f>
        <v>#VALUE!</v>
      </c>
      <c r="L251">
        <f>Tabella2[[#This Row],[Quantity]]*Tabella2[[#This Row],[Price]]</f>
        <v>9404.76</v>
      </c>
    </row>
    <row r="252" spans="2:12" x14ac:dyDescent="0.3">
      <c r="B252" s="3">
        <v>10706</v>
      </c>
      <c r="C252" s="4">
        <v>44923</v>
      </c>
      <c r="D252" t="s">
        <v>18</v>
      </c>
      <c r="E252" s="3">
        <v>9.9499999999999993</v>
      </c>
      <c r="F252" s="3" t="s">
        <v>22</v>
      </c>
      <c r="G252" s="3" t="s">
        <v>11</v>
      </c>
      <c r="H252" t="s">
        <v>17</v>
      </c>
      <c r="I252">
        <v>302</v>
      </c>
      <c r="J252" t="e" vm="10">
        <v>#VALUE!</v>
      </c>
      <c r="K252" t="e" cm="1" vm="2">
        <f t="array" aca="1" ref="K252" ca="1">_FV(Tabella2[[#This Row],[City]],"Paese/area geografica",TRUE)</f>
        <v>#VALUE!</v>
      </c>
      <c r="L252">
        <f>Tabella2[[#This Row],[Quantity]]*Tabella2[[#This Row],[Price]]</f>
        <v>3004.8999999999996</v>
      </c>
    </row>
    <row r="253" spans="2:12" x14ac:dyDescent="0.3">
      <c r="B253" s="3">
        <v>10707</v>
      </c>
      <c r="C253" s="4">
        <v>44923</v>
      </c>
      <c r="D253" t="s">
        <v>9</v>
      </c>
      <c r="E253" s="3">
        <v>3.49</v>
      </c>
      <c r="F253" s="3" t="s">
        <v>22</v>
      </c>
      <c r="G253" s="3" t="s">
        <v>11</v>
      </c>
      <c r="H253" t="s">
        <v>17</v>
      </c>
      <c r="I253">
        <v>631</v>
      </c>
      <c r="J253" t="e" vm="10">
        <v>#VALUE!</v>
      </c>
      <c r="K253" t="e" cm="1" vm="2">
        <f t="array" aca="1" ref="K253" ca="1">_FV(Tabella2[[#This Row],[City]],"Paese/area geografica",TRUE)</f>
        <v>#VALUE!</v>
      </c>
      <c r="L253">
        <f>Tabella2[[#This Row],[Quantity]]*Tabella2[[#This Row],[Price]]</f>
        <v>2202.19</v>
      </c>
    </row>
    <row r="254" spans="2:12" x14ac:dyDescent="0.3">
      <c r="B254" s="3">
        <v>10708</v>
      </c>
      <c r="C254" s="4">
        <v>44923</v>
      </c>
      <c r="D254" t="s">
        <v>12</v>
      </c>
      <c r="E254" s="3">
        <v>2.95</v>
      </c>
      <c r="F254" s="3" t="s">
        <v>22</v>
      </c>
      <c r="G254" s="3" t="s">
        <v>11</v>
      </c>
      <c r="H254" t="s">
        <v>17</v>
      </c>
      <c r="I254">
        <v>678</v>
      </c>
      <c r="J254" t="e" vm="10">
        <v>#VALUE!</v>
      </c>
      <c r="K254" t="e" cm="1" vm="2">
        <f t="array" aca="1" ref="K254" ca="1">_FV(Tabella2[[#This Row],[City]],"Paese/area geografica",TRUE)</f>
        <v>#VALUE!</v>
      </c>
      <c r="L254">
        <f>Tabella2[[#This Row],[Quantity]]*Tabella2[[#This Row],[Price]]</f>
        <v>2000.1000000000001</v>
      </c>
    </row>
    <row r="255" spans="2:12" x14ac:dyDescent="0.3">
      <c r="B255" s="3">
        <v>10709</v>
      </c>
      <c r="C255" s="4">
        <v>44923</v>
      </c>
      <c r="D255" t="s">
        <v>13</v>
      </c>
      <c r="E255" s="3">
        <v>4.99</v>
      </c>
      <c r="F255" s="3" t="s">
        <v>22</v>
      </c>
      <c r="G255" s="3" t="s">
        <v>11</v>
      </c>
      <c r="H255" t="s">
        <v>17</v>
      </c>
      <c r="I255">
        <v>201</v>
      </c>
      <c r="J255" t="e" vm="10">
        <v>#VALUE!</v>
      </c>
      <c r="K255" t="e" cm="1" vm="2">
        <f t="array" aca="1" ref="K255" ca="1">_FV(Tabella2[[#This Row],[City]],"Paese/area geografica",TRUE)</f>
        <v>#VALUE!</v>
      </c>
      <c r="L255">
        <f>Tabella2[[#This Row],[Quantity]]*Tabella2[[#This Row],[Price]]</f>
        <v>1002.99</v>
      </c>
    </row>
    <row r="256" spans="2:12" x14ac:dyDescent="0.3">
      <c r="B256" s="3">
        <v>10710</v>
      </c>
      <c r="C256" s="4">
        <v>44924</v>
      </c>
      <c r="D256" t="s">
        <v>15</v>
      </c>
      <c r="E256" s="3">
        <v>12.99</v>
      </c>
      <c r="F256" s="3" t="s">
        <v>22</v>
      </c>
      <c r="G256" s="3" t="s">
        <v>11</v>
      </c>
      <c r="H256" t="s">
        <v>17</v>
      </c>
      <c r="I256">
        <v>755</v>
      </c>
      <c r="J256" t="e" vm="10">
        <v>#VALUE!</v>
      </c>
      <c r="K256" t="e" cm="1" vm="2">
        <f t="array" aca="1" ref="K256" ca="1">_FV(Tabella2[[#This Row],[City]],"Paese/area geografica",TRUE)</f>
        <v>#VALUE!</v>
      </c>
      <c r="L256">
        <f>Tabella2[[#This Row],[Quantity]]*Tabella2[[#This Row],[Price]]</f>
        <v>9807.4500000000007</v>
      </c>
    </row>
    <row r="257" spans="2:12" x14ac:dyDescent="0.3">
      <c r="B257" s="3">
        <v>10711</v>
      </c>
      <c r="C257" s="4">
        <v>44924</v>
      </c>
      <c r="D257" t="s">
        <v>18</v>
      </c>
      <c r="E257" s="3">
        <v>9.9499999999999993</v>
      </c>
      <c r="F257" s="3" t="s">
        <v>22</v>
      </c>
      <c r="G257" s="3" t="s">
        <v>11</v>
      </c>
      <c r="H257" t="s">
        <v>17</v>
      </c>
      <c r="I257">
        <v>282</v>
      </c>
      <c r="J257" t="e" vm="10">
        <v>#VALUE!</v>
      </c>
      <c r="K257" t="e" cm="1" vm="2">
        <f t="array" aca="1" ref="K257" ca="1">_FV(Tabella2[[#This Row],[City]],"Paese/area geografica",TRUE)</f>
        <v>#VALUE!</v>
      </c>
      <c r="L257">
        <f>Tabella2[[#This Row],[Quantity]]*Tabella2[[#This Row],[Price]]</f>
        <v>2805.8999999999996</v>
      </c>
    </row>
    <row r="258" spans="2:12" x14ac:dyDescent="0.3">
      <c r="B258" s="3">
        <v>10712</v>
      </c>
      <c r="C258" s="4">
        <v>44924</v>
      </c>
      <c r="D258" t="s">
        <v>9</v>
      </c>
      <c r="E258" s="3">
        <v>3.49</v>
      </c>
      <c r="F258" s="3" t="s">
        <v>22</v>
      </c>
      <c r="G258" s="3" t="s">
        <v>11</v>
      </c>
      <c r="H258" t="s">
        <v>17</v>
      </c>
      <c r="I258">
        <v>631</v>
      </c>
      <c r="J258" t="e" vm="10">
        <v>#VALUE!</v>
      </c>
      <c r="K258" t="e" cm="1" vm="2">
        <f t="array" aca="1" ref="K258" ca="1">_FV(Tabella2[[#This Row],[City]],"Paese/area geografica",TRUE)</f>
        <v>#VALUE!</v>
      </c>
      <c r="L258">
        <f>Tabella2[[#This Row],[Quantity]]*Tabella2[[#This Row],[Price]]</f>
        <v>2202.19</v>
      </c>
    </row>
    <row r="259" spans="2:12" x14ac:dyDescent="0.3">
      <c r="B259" s="3">
        <v>10713</v>
      </c>
      <c r="C259" s="4">
        <v>44924</v>
      </c>
      <c r="D259" t="s">
        <v>12</v>
      </c>
      <c r="E259" s="3">
        <v>2.95</v>
      </c>
      <c r="F259" s="3" t="s">
        <v>22</v>
      </c>
      <c r="G259" s="3" t="s">
        <v>11</v>
      </c>
      <c r="H259" t="s">
        <v>17</v>
      </c>
      <c r="I259">
        <v>678</v>
      </c>
      <c r="J259" t="e" vm="10">
        <v>#VALUE!</v>
      </c>
      <c r="K259" t="e" cm="1" vm="2">
        <f t="array" aca="1" ref="K259" ca="1">_FV(Tabella2[[#This Row],[City]],"Paese/area geografica",TRUE)</f>
        <v>#VALUE!</v>
      </c>
      <c r="L259">
        <f>Tabella2[[#This Row],[Quantity]]*Tabella2[[#This Row],[Price]]</f>
        <v>2000.1000000000001</v>
      </c>
    </row>
  </sheetData>
  <phoneticPr fontId="9"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P256"/>
  <sheetViews>
    <sheetView topLeftCell="C1" workbookViewId="0">
      <selection activeCell="E3" sqref="E3"/>
    </sheetView>
  </sheetViews>
  <sheetFormatPr defaultColWidth="10.69921875" defaultRowHeight="15.6" x14ac:dyDescent="0.3"/>
  <cols>
    <col min="15" max="15" width="18.69921875" bestFit="1" customWidth="1"/>
    <col min="16" max="16" width="17.09765625" bestFit="1" customWidth="1"/>
  </cols>
  <sheetData>
    <row r="2" spans="2:16" x14ac:dyDescent="0.3">
      <c r="B2" s="1" t="s">
        <v>0</v>
      </c>
      <c r="C2" s="1" t="s">
        <v>1</v>
      </c>
      <c r="D2" s="1" t="s">
        <v>2</v>
      </c>
      <c r="E2" s="2" t="s">
        <v>3</v>
      </c>
      <c r="F2" s="1" t="s">
        <v>4</v>
      </c>
      <c r="G2" s="2" t="s">
        <v>34</v>
      </c>
      <c r="H2" s="1" t="s">
        <v>8</v>
      </c>
      <c r="I2" s="1" t="s">
        <v>31</v>
      </c>
      <c r="J2" s="1" t="s">
        <v>5</v>
      </c>
      <c r="K2" s="1" t="s">
        <v>6</v>
      </c>
      <c r="L2" s="1" t="s">
        <v>7</v>
      </c>
      <c r="M2" s="1" t="s">
        <v>32</v>
      </c>
    </row>
    <row r="3" spans="2:16" x14ac:dyDescent="0.3">
      <c r="B3" s="3">
        <v>10452</v>
      </c>
      <c r="C3" s="4">
        <v>44872</v>
      </c>
      <c r="D3" t="s">
        <v>9</v>
      </c>
      <c r="E3" s="3">
        <v>3.49</v>
      </c>
      <c r="F3" s="19">
        <v>574</v>
      </c>
      <c r="G3" s="3">
        <v>0.88</v>
      </c>
      <c r="H3" t="e" vm="11">
        <v>#VALUE!</v>
      </c>
      <c r="I3" t="e" cm="1" vm="12">
        <f t="array" ref="I3">_FV(H3,"Country/region",TRUE)</f>
        <v>#VALUE!</v>
      </c>
      <c r="J3" t="s">
        <v>10</v>
      </c>
      <c r="K3" t="s">
        <v>11</v>
      </c>
      <c r="L3" t="s">
        <v>24</v>
      </c>
      <c r="M3">
        <f>Table1[[#This Row],[Price]]*Table1[[#This Row],[Quantity]]</f>
        <v>2003.2600000000002</v>
      </c>
    </row>
    <row r="4" spans="2:16" x14ac:dyDescent="0.3">
      <c r="B4" s="3">
        <v>10453</v>
      </c>
      <c r="C4" s="4">
        <v>44872</v>
      </c>
      <c r="D4" t="s">
        <v>12</v>
      </c>
      <c r="E4" s="3">
        <v>2.95</v>
      </c>
      <c r="F4" s="19">
        <v>746</v>
      </c>
      <c r="G4" s="3">
        <v>0.47</v>
      </c>
      <c r="H4" t="e" vm="13">
        <v>#VALUE!</v>
      </c>
      <c r="I4" t="e" cm="1" vm="14">
        <f t="array" ref="I4">_FV(H4,"Country/region",TRUE)</f>
        <v>#VALUE!</v>
      </c>
      <c r="J4" t="s">
        <v>10</v>
      </c>
      <c r="K4" t="s">
        <v>11</v>
      </c>
      <c r="L4" t="s">
        <v>20</v>
      </c>
      <c r="M4">
        <f>Table1[[#This Row],[Price]]*Table1[[#This Row],[Quantity]]</f>
        <v>2200.7000000000003</v>
      </c>
    </row>
    <row r="5" spans="2:16" x14ac:dyDescent="0.3">
      <c r="B5" s="3">
        <v>10454</v>
      </c>
      <c r="C5" s="4">
        <v>44872</v>
      </c>
      <c r="D5" t="s">
        <v>13</v>
      </c>
      <c r="E5" s="3">
        <v>4.99</v>
      </c>
      <c r="F5" s="19">
        <v>201</v>
      </c>
      <c r="G5" s="3">
        <v>2.25</v>
      </c>
      <c r="H5" t="e" vm="15">
        <v>#VALUE!</v>
      </c>
      <c r="I5" t="e" cm="1" vm="16">
        <f t="array" ref="I5">_FV(H5,"Country/region",TRUE)</f>
        <v>#VALUE!</v>
      </c>
      <c r="J5" t="s">
        <v>14</v>
      </c>
      <c r="K5" t="s">
        <v>11</v>
      </c>
      <c r="L5" t="s">
        <v>21</v>
      </c>
      <c r="M5">
        <f>Table1[[#This Row],[Price]]*Table1[[#This Row],[Quantity]]</f>
        <v>1002.99</v>
      </c>
    </row>
    <row r="6" spans="2:16" x14ac:dyDescent="0.3">
      <c r="B6" s="3">
        <v>10455</v>
      </c>
      <c r="C6" s="4">
        <v>44873</v>
      </c>
      <c r="D6" t="s">
        <v>15</v>
      </c>
      <c r="E6" s="3">
        <v>12.99</v>
      </c>
      <c r="F6" s="19">
        <v>570</v>
      </c>
      <c r="G6" s="3">
        <v>4.32</v>
      </c>
      <c r="H6" t="e" vm="17">
        <v>#VALUE!</v>
      </c>
      <c r="I6" t="e" cm="1" vm="18">
        <f t="array" ref="I6">_FV(H6,"Country/region",TRUE)</f>
        <v>#VALUE!</v>
      </c>
      <c r="J6" t="s">
        <v>14</v>
      </c>
      <c r="K6" t="s">
        <v>16</v>
      </c>
      <c r="L6" t="s">
        <v>17</v>
      </c>
      <c r="M6">
        <f>Table1[[#This Row],[Price]]*Table1[[#This Row],[Quantity]]</f>
        <v>7404.3</v>
      </c>
    </row>
    <row r="7" spans="2:16" x14ac:dyDescent="0.3">
      <c r="B7" s="3">
        <v>10456</v>
      </c>
      <c r="C7" s="4">
        <v>44873</v>
      </c>
      <c r="D7" t="s">
        <v>18</v>
      </c>
      <c r="E7" s="3">
        <v>9.9499999999999993</v>
      </c>
      <c r="F7" s="19">
        <v>202</v>
      </c>
      <c r="G7" s="3">
        <v>2.85</v>
      </c>
      <c r="H7" t="e" vm="17">
        <v>#VALUE!</v>
      </c>
      <c r="I7" t="e" cm="1" vm="18">
        <f t="array" ref="I7">_FV(H7,"Country/region",TRUE)</f>
        <v>#VALUE!</v>
      </c>
      <c r="J7" t="s">
        <v>14</v>
      </c>
      <c r="K7" t="s">
        <v>16</v>
      </c>
      <c r="L7" t="s">
        <v>17</v>
      </c>
      <c r="M7">
        <f>Table1[[#This Row],[Price]]*Table1[[#This Row],[Quantity]]</f>
        <v>2009.8999999999999</v>
      </c>
    </row>
    <row r="8" spans="2:16" x14ac:dyDescent="0.3">
      <c r="B8" s="3">
        <v>10457</v>
      </c>
      <c r="C8" s="4">
        <v>44873</v>
      </c>
      <c r="D8" t="s">
        <v>9</v>
      </c>
      <c r="E8" s="3">
        <v>3.49</v>
      </c>
      <c r="F8" s="19">
        <v>574</v>
      </c>
      <c r="G8" s="3">
        <v>0.88</v>
      </c>
      <c r="H8" t="e" vm="19">
        <v>#VALUE!</v>
      </c>
      <c r="I8" t="e" cm="1" vm="20">
        <f t="array" ref="I8">_FV(H8,"Country/region",TRUE)</f>
        <v>#VALUE!</v>
      </c>
      <c r="J8" t="s">
        <v>14</v>
      </c>
      <c r="K8" t="s">
        <v>16</v>
      </c>
      <c r="L8" t="s">
        <v>19</v>
      </c>
      <c r="M8">
        <f>Table1[[#This Row],[Price]]*Table1[[#This Row],[Quantity]]</f>
        <v>2003.2600000000002</v>
      </c>
      <c r="O8" s="22" t="s">
        <v>53</v>
      </c>
      <c r="P8" t="s">
        <v>59</v>
      </c>
    </row>
    <row r="9" spans="2:16" x14ac:dyDescent="0.3">
      <c r="B9" s="3">
        <v>10459</v>
      </c>
      <c r="C9" s="4">
        <v>44873</v>
      </c>
      <c r="D9" t="s">
        <v>13</v>
      </c>
      <c r="E9" s="3">
        <v>4.99</v>
      </c>
      <c r="F9" s="19">
        <v>201</v>
      </c>
      <c r="G9" s="3">
        <v>2.25</v>
      </c>
      <c r="H9" t="e" vm="19">
        <v>#VALUE!</v>
      </c>
      <c r="I9" t="e" cm="1" vm="20">
        <f t="array" ref="I9">_FV(H9,"Country/region",TRUE)</f>
        <v>#VALUE!</v>
      </c>
      <c r="J9" t="s">
        <v>14</v>
      </c>
      <c r="K9" t="s">
        <v>16</v>
      </c>
      <c r="L9" t="s">
        <v>19</v>
      </c>
      <c r="M9">
        <f>Table1[[#This Row],[Price]]*Table1[[#This Row],[Quantity]]</f>
        <v>1002.99</v>
      </c>
      <c r="O9" s="14" t="e" vm="20">
        <v>#VALUE!</v>
      </c>
      <c r="P9" s="23">
        <v>9.18847278500311E-2</v>
      </c>
    </row>
    <row r="10" spans="2:16" x14ac:dyDescent="0.3">
      <c r="B10" s="3">
        <v>10460</v>
      </c>
      <c r="C10" s="4">
        <v>44874</v>
      </c>
      <c r="D10" t="s">
        <v>15</v>
      </c>
      <c r="E10" s="3">
        <v>12.99</v>
      </c>
      <c r="F10" s="19">
        <v>555</v>
      </c>
      <c r="G10" s="3">
        <v>4.32</v>
      </c>
      <c r="H10" t="e" vm="17">
        <v>#VALUE!</v>
      </c>
      <c r="I10" t="e" cm="1" vm="18">
        <f t="array" ref="I10">_FV(H10,"Country/region",TRUE)</f>
        <v>#VALUE!</v>
      </c>
      <c r="J10" t="s">
        <v>14</v>
      </c>
      <c r="K10" t="s">
        <v>16</v>
      </c>
      <c r="L10" t="s">
        <v>17</v>
      </c>
      <c r="M10">
        <f>Table1[[#This Row],[Price]]*Table1[[#This Row],[Quantity]]</f>
        <v>7209.45</v>
      </c>
      <c r="O10" s="14" t="e" vm="18">
        <v>#VALUE!</v>
      </c>
      <c r="P10" s="23">
        <v>0.13324447411154738</v>
      </c>
    </row>
    <row r="11" spans="2:16" x14ac:dyDescent="0.3">
      <c r="B11" s="3">
        <v>10461</v>
      </c>
      <c r="C11" s="4">
        <v>44874</v>
      </c>
      <c r="D11" t="s">
        <v>18</v>
      </c>
      <c r="E11" s="3">
        <v>9.9499999999999993</v>
      </c>
      <c r="F11" s="19">
        <v>202</v>
      </c>
      <c r="G11" s="3">
        <v>2.85</v>
      </c>
      <c r="H11" t="e" vm="19">
        <v>#VALUE!</v>
      </c>
      <c r="I11" t="e" cm="1" vm="20">
        <f t="array" ref="I11">_FV(H11,"Country/region",TRUE)</f>
        <v>#VALUE!</v>
      </c>
      <c r="J11" t="s">
        <v>14</v>
      </c>
      <c r="K11" t="s">
        <v>16</v>
      </c>
      <c r="L11" t="s">
        <v>19</v>
      </c>
      <c r="M11">
        <f>Table1[[#This Row],[Price]]*Table1[[#This Row],[Quantity]]</f>
        <v>2009.8999999999999</v>
      </c>
      <c r="O11" s="14" t="e" vm="16">
        <v>#VALUE!</v>
      </c>
      <c r="P11" s="23">
        <v>0.34119018411086327</v>
      </c>
    </row>
    <row r="12" spans="2:16" x14ac:dyDescent="0.3">
      <c r="B12" s="3">
        <v>10462</v>
      </c>
      <c r="C12" s="4">
        <v>44874</v>
      </c>
      <c r="D12" t="s">
        <v>9</v>
      </c>
      <c r="E12" s="3">
        <v>3.49</v>
      </c>
      <c r="F12" s="19">
        <v>574</v>
      </c>
      <c r="G12" s="3">
        <v>0.88</v>
      </c>
      <c r="H12" t="e" vm="19">
        <v>#VALUE!</v>
      </c>
      <c r="I12" t="e" cm="1" vm="20">
        <f t="array" ref="I12">_FV(H12,"Country/region",TRUE)</f>
        <v>#VALUE!</v>
      </c>
      <c r="J12" t="s">
        <v>14</v>
      </c>
      <c r="K12" t="s">
        <v>16</v>
      </c>
      <c r="L12" t="s">
        <v>19</v>
      </c>
      <c r="M12">
        <f>Table1[[#This Row],[Price]]*Table1[[#This Row],[Quantity]]</f>
        <v>2003.2600000000002</v>
      </c>
      <c r="O12" s="14" t="e" vm="14">
        <v>#VALUE!</v>
      </c>
      <c r="P12" s="23">
        <v>0.17004330213800573</v>
      </c>
    </row>
    <row r="13" spans="2:16" x14ac:dyDescent="0.3">
      <c r="B13" s="3">
        <v>10463</v>
      </c>
      <c r="C13" s="4">
        <v>44874</v>
      </c>
      <c r="D13" t="s">
        <v>12</v>
      </c>
      <c r="E13" s="3">
        <v>2.95</v>
      </c>
      <c r="F13" s="19">
        <v>678</v>
      </c>
      <c r="G13" s="3">
        <v>0.47</v>
      </c>
      <c r="H13" t="e" vm="19">
        <v>#VALUE!</v>
      </c>
      <c r="I13" t="e" cm="1" vm="20">
        <f t="array" ref="I13">_FV(H13,"Country/region",TRUE)</f>
        <v>#VALUE!</v>
      </c>
      <c r="J13" t="s">
        <v>14</v>
      </c>
      <c r="K13" t="s">
        <v>16</v>
      </c>
      <c r="L13" t="s">
        <v>19</v>
      </c>
      <c r="M13">
        <f>Table1[[#This Row],[Price]]*Table1[[#This Row],[Quantity]]</f>
        <v>2000.1000000000001</v>
      </c>
      <c r="O13" s="14" t="e" vm="12">
        <v>#VALUE!</v>
      </c>
      <c r="P13" s="23">
        <v>0.26363731178955241</v>
      </c>
    </row>
    <row r="14" spans="2:16" x14ac:dyDescent="0.3">
      <c r="B14" s="3">
        <v>10464</v>
      </c>
      <c r="C14" s="4">
        <v>44874</v>
      </c>
      <c r="D14" t="s">
        <v>13</v>
      </c>
      <c r="E14" s="3">
        <v>4.99</v>
      </c>
      <c r="F14" s="19">
        <v>201</v>
      </c>
      <c r="G14" s="3">
        <v>2.25</v>
      </c>
      <c r="H14" t="e" vm="19">
        <v>#VALUE!</v>
      </c>
      <c r="I14" t="e" cm="1" vm="20">
        <f t="array" ref="I14">_FV(H14,"Country/region",TRUE)</f>
        <v>#VALUE!</v>
      </c>
      <c r="J14" t="s">
        <v>14</v>
      </c>
      <c r="K14" t="s">
        <v>16</v>
      </c>
      <c r="L14" t="s">
        <v>19</v>
      </c>
      <c r="M14">
        <f>Table1[[#This Row],[Price]]*Table1[[#This Row],[Quantity]]</f>
        <v>1002.99</v>
      </c>
      <c r="O14" s="14" t="s">
        <v>54</v>
      </c>
      <c r="P14" s="23">
        <v>1</v>
      </c>
    </row>
    <row r="15" spans="2:16" x14ac:dyDescent="0.3">
      <c r="B15" s="3">
        <v>10465</v>
      </c>
      <c r="C15" s="4">
        <v>44875</v>
      </c>
      <c r="D15" t="s">
        <v>15</v>
      </c>
      <c r="E15" s="3">
        <v>12.99</v>
      </c>
      <c r="F15" s="19">
        <v>555</v>
      </c>
      <c r="G15" s="3">
        <v>4.32</v>
      </c>
      <c r="H15" t="e" vm="13">
        <v>#VALUE!</v>
      </c>
      <c r="I15" t="e" cm="1" vm="14">
        <f t="array" ref="I15">_FV(H15,"Country/region",TRUE)</f>
        <v>#VALUE!</v>
      </c>
      <c r="J15" t="s">
        <v>14</v>
      </c>
      <c r="K15" t="s">
        <v>16</v>
      </c>
      <c r="L15" t="s">
        <v>20</v>
      </c>
      <c r="M15">
        <f>Table1[[#This Row],[Price]]*Table1[[#This Row],[Quantity]]</f>
        <v>7209.45</v>
      </c>
    </row>
    <row r="16" spans="2:16" x14ac:dyDescent="0.3">
      <c r="B16" s="3">
        <v>10466</v>
      </c>
      <c r="C16" s="4">
        <v>44875</v>
      </c>
      <c r="D16" t="s">
        <v>18</v>
      </c>
      <c r="E16" s="3">
        <v>9.9499999999999993</v>
      </c>
      <c r="F16" s="19">
        <v>202</v>
      </c>
      <c r="G16" s="3">
        <v>2.85</v>
      </c>
      <c r="H16" t="e" vm="13">
        <v>#VALUE!</v>
      </c>
      <c r="I16" t="e" cm="1" vm="14">
        <f t="array" ref="I16">_FV(H16,"Country/region",TRUE)</f>
        <v>#VALUE!</v>
      </c>
      <c r="J16" t="s">
        <v>14</v>
      </c>
      <c r="K16" t="s">
        <v>16</v>
      </c>
      <c r="L16" t="s">
        <v>20</v>
      </c>
      <c r="M16">
        <f>Table1[[#This Row],[Price]]*Table1[[#This Row],[Quantity]]</f>
        <v>2009.8999999999999</v>
      </c>
    </row>
    <row r="17" spans="2:13" x14ac:dyDescent="0.3">
      <c r="B17" s="3">
        <v>10467</v>
      </c>
      <c r="C17" s="4">
        <v>44875</v>
      </c>
      <c r="D17" t="s">
        <v>9</v>
      </c>
      <c r="E17" s="3">
        <v>3.49</v>
      </c>
      <c r="F17" s="19">
        <v>574</v>
      </c>
      <c r="G17" s="3">
        <v>0.88</v>
      </c>
      <c r="H17" t="e" vm="13">
        <v>#VALUE!</v>
      </c>
      <c r="I17" t="e" cm="1" vm="14">
        <f t="array" ref="I17">_FV(H17,"Country/region",TRUE)</f>
        <v>#VALUE!</v>
      </c>
      <c r="J17" t="s">
        <v>14</v>
      </c>
      <c r="K17" t="s">
        <v>16</v>
      </c>
      <c r="L17" t="s">
        <v>20</v>
      </c>
      <c r="M17">
        <f>Table1[[#This Row],[Price]]*Table1[[#This Row],[Quantity]]</f>
        <v>2003.2600000000002</v>
      </c>
    </row>
    <row r="18" spans="2:13" x14ac:dyDescent="0.3">
      <c r="B18" s="3">
        <v>10468</v>
      </c>
      <c r="C18" s="4">
        <v>44875</v>
      </c>
      <c r="D18" t="s">
        <v>12</v>
      </c>
      <c r="E18" s="3">
        <v>2.95</v>
      </c>
      <c r="F18" s="19">
        <v>678</v>
      </c>
      <c r="G18" s="3">
        <v>0.47</v>
      </c>
      <c r="H18" t="e" vm="13">
        <v>#VALUE!</v>
      </c>
      <c r="I18" t="e" cm="1" vm="14">
        <f t="array" ref="I18">_FV(H18,"Country/region",TRUE)</f>
        <v>#VALUE!</v>
      </c>
      <c r="J18" t="s">
        <v>14</v>
      </c>
      <c r="K18" t="s">
        <v>16</v>
      </c>
      <c r="L18" t="s">
        <v>20</v>
      </c>
      <c r="M18">
        <f>Table1[[#This Row],[Price]]*Table1[[#This Row],[Quantity]]</f>
        <v>2000.1000000000001</v>
      </c>
    </row>
    <row r="19" spans="2:13" x14ac:dyDescent="0.3">
      <c r="B19" s="3">
        <v>10470</v>
      </c>
      <c r="C19" s="4">
        <v>44876</v>
      </c>
      <c r="D19" t="s">
        <v>15</v>
      </c>
      <c r="E19" s="3">
        <v>12.99</v>
      </c>
      <c r="F19" s="19">
        <v>555</v>
      </c>
      <c r="G19" s="3">
        <v>4.32</v>
      </c>
      <c r="H19" t="e" vm="13">
        <v>#VALUE!</v>
      </c>
      <c r="I19" t="e" cm="1" vm="14">
        <f t="array" ref="I19">_FV(H19,"Country/region",TRUE)</f>
        <v>#VALUE!</v>
      </c>
      <c r="J19" t="s">
        <v>14</v>
      </c>
      <c r="K19" t="s">
        <v>16</v>
      </c>
      <c r="L19" t="s">
        <v>20</v>
      </c>
      <c r="M19">
        <f>Table1[[#This Row],[Price]]*Table1[[#This Row],[Quantity]]</f>
        <v>7209.45</v>
      </c>
    </row>
    <row r="20" spans="2:13" x14ac:dyDescent="0.3">
      <c r="B20" s="3">
        <v>10471</v>
      </c>
      <c r="C20" s="4">
        <v>44876</v>
      </c>
      <c r="D20" t="s">
        <v>18</v>
      </c>
      <c r="E20" s="3">
        <v>9.9499999999999993</v>
      </c>
      <c r="F20" s="19">
        <v>202</v>
      </c>
      <c r="G20" s="3">
        <v>2.85</v>
      </c>
      <c r="H20" t="e" vm="13">
        <v>#VALUE!</v>
      </c>
      <c r="I20" t="e" cm="1" vm="14">
        <f t="array" ref="I20">_FV(H20,"Country/region",TRUE)</f>
        <v>#VALUE!</v>
      </c>
      <c r="J20" t="s">
        <v>14</v>
      </c>
      <c r="K20" t="s">
        <v>16</v>
      </c>
      <c r="L20" t="s">
        <v>20</v>
      </c>
      <c r="M20">
        <f>Table1[[#This Row],[Price]]*Table1[[#This Row],[Quantity]]</f>
        <v>2009.8999999999999</v>
      </c>
    </row>
    <row r="21" spans="2:13" x14ac:dyDescent="0.3">
      <c r="B21" s="3">
        <v>10472</v>
      </c>
      <c r="C21" s="4">
        <v>44876</v>
      </c>
      <c r="D21" t="s">
        <v>9</v>
      </c>
      <c r="E21" s="3">
        <v>3.49</v>
      </c>
      <c r="F21" s="19">
        <v>631</v>
      </c>
      <c r="G21" s="3">
        <v>0.88</v>
      </c>
      <c r="H21" t="e" vm="13">
        <v>#VALUE!</v>
      </c>
      <c r="I21" t="e" cm="1" vm="14">
        <f t="array" ref="I21">_FV(H21,"Country/region",TRUE)</f>
        <v>#VALUE!</v>
      </c>
      <c r="J21" t="s">
        <v>14</v>
      </c>
      <c r="K21" t="s">
        <v>16</v>
      </c>
      <c r="L21" t="s">
        <v>20</v>
      </c>
      <c r="M21">
        <f>Table1[[#This Row],[Price]]*Table1[[#This Row],[Quantity]]</f>
        <v>2202.19</v>
      </c>
    </row>
    <row r="22" spans="2:13" x14ac:dyDescent="0.3">
      <c r="B22" s="3">
        <v>10473</v>
      </c>
      <c r="C22" s="4">
        <v>44876</v>
      </c>
      <c r="D22" t="s">
        <v>12</v>
      </c>
      <c r="E22" s="3">
        <v>2.95</v>
      </c>
      <c r="F22" s="19">
        <v>678</v>
      </c>
      <c r="G22" s="3">
        <v>0.47</v>
      </c>
      <c r="H22" t="e" vm="13">
        <v>#VALUE!</v>
      </c>
      <c r="I22" t="e" cm="1" vm="14">
        <f t="array" ref="I22">_FV(H22,"Country/region",TRUE)</f>
        <v>#VALUE!</v>
      </c>
      <c r="J22" t="s">
        <v>14</v>
      </c>
      <c r="K22" t="s">
        <v>16</v>
      </c>
      <c r="L22" t="s">
        <v>20</v>
      </c>
      <c r="M22">
        <f>Table1[[#This Row],[Price]]*Table1[[#This Row],[Quantity]]</f>
        <v>2000.1000000000001</v>
      </c>
    </row>
    <row r="23" spans="2:13" x14ac:dyDescent="0.3">
      <c r="B23" s="3">
        <v>10474</v>
      </c>
      <c r="C23" s="4">
        <v>44876</v>
      </c>
      <c r="D23" t="s">
        <v>13</v>
      </c>
      <c r="E23" s="3">
        <v>4.99</v>
      </c>
      <c r="F23" s="19">
        <v>201</v>
      </c>
      <c r="G23" s="3">
        <v>2.25</v>
      </c>
      <c r="H23" t="e" vm="13">
        <v>#VALUE!</v>
      </c>
      <c r="I23" t="e" cm="1" vm="14">
        <f t="array" ref="I23">_FV(H23,"Country/region",TRUE)</f>
        <v>#VALUE!</v>
      </c>
      <c r="J23" t="s">
        <v>14</v>
      </c>
      <c r="K23" t="s">
        <v>16</v>
      </c>
      <c r="L23" t="s">
        <v>20</v>
      </c>
      <c r="M23">
        <f>Table1[[#This Row],[Price]]*Table1[[#This Row],[Quantity]]</f>
        <v>1002.99</v>
      </c>
    </row>
    <row r="24" spans="2:13" x14ac:dyDescent="0.3">
      <c r="B24" s="3">
        <v>10475</v>
      </c>
      <c r="C24" s="4">
        <v>44877</v>
      </c>
      <c r="D24" t="s">
        <v>15</v>
      </c>
      <c r="E24" s="3">
        <v>12.99</v>
      </c>
      <c r="F24" s="19">
        <v>524</v>
      </c>
      <c r="G24" s="3">
        <v>4.32</v>
      </c>
      <c r="H24" t="e" vm="13">
        <v>#VALUE!</v>
      </c>
      <c r="I24" t="e" cm="1" vm="14">
        <f t="array" ref="I24">_FV(H24,"Country/region",TRUE)</f>
        <v>#VALUE!</v>
      </c>
      <c r="J24" t="s">
        <v>14</v>
      </c>
      <c r="K24" t="s">
        <v>16</v>
      </c>
      <c r="L24" t="s">
        <v>20</v>
      </c>
      <c r="M24">
        <f>Table1[[#This Row],[Price]]*Table1[[#This Row],[Quantity]]</f>
        <v>6806.76</v>
      </c>
    </row>
    <row r="25" spans="2:13" x14ac:dyDescent="0.3">
      <c r="B25" s="3">
        <v>10476</v>
      </c>
      <c r="C25" s="4">
        <v>44877</v>
      </c>
      <c r="D25" t="s">
        <v>18</v>
      </c>
      <c r="E25" s="3">
        <v>9.9499999999999993</v>
      </c>
      <c r="F25" s="19">
        <v>202</v>
      </c>
      <c r="G25" s="3">
        <v>2.85</v>
      </c>
      <c r="H25" t="e" vm="13">
        <v>#VALUE!</v>
      </c>
      <c r="I25" t="e" cm="1" vm="14">
        <f t="array" ref="I25">_FV(H25,"Country/region",TRUE)</f>
        <v>#VALUE!</v>
      </c>
      <c r="J25" t="s">
        <v>14</v>
      </c>
      <c r="K25" t="s">
        <v>16</v>
      </c>
      <c r="L25" t="s">
        <v>20</v>
      </c>
      <c r="M25">
        <f>Table1[[#This Row],[Price]]*Table1[[#This Row],[Quantity]]</f>
        <v>2009.8999999999999</v>
      </c>
    </row>
    <row r="26" spans="2:13" x14ac:dyDescent="0.3">
      <c r="B26" s="3">
        <v>10477</v>
      </c>
      <c r="C26" s="4">
        <v>44877</v>
      </c>
      <c r="D26" t="s">
        <v>9</v>
      </c>
      <c r="E26" s="3">
        <v>3.49</v>
      </c>
      <c r="F26" s="19">
        <v>631</v>
      </c>
      <c r="G26" s="3">
        <v>0.88</v>
      </c>
      <c r="H26" t="e" vm="13">
        <v>#VALUE!</v>
      </c>
      <c r="I26" t="e" cm="1" vm="14">
        <f t="array" ref="I26">_FV(H26,"Country/region",TRUE)</f>
        <v>#VALUE!</v>
      </c>
      <c r="J26" t="s">
        <v>14</v>
      </c>
      <c r="K26" t="s">
        <v>16</v>
      </c>
      <c r="L26" t="s">
        <v>20</v>
      </c>
      <c r="M26">
        <f>Table1[[#This Row],[Price]]*Table1[[#This Row],[Quantity]]</f>
        <v>2202.19</v>
      </c>
    </row>
    <row r="27" spans="2:13" x14ac:dyDescent="0.3">
      <c r="B27" s="3">
        <v>10478</v>
      </c>
      <c r="C27" s="4">
        <v>44877</v>
      </c>
      <c r="D27" t="s">
        <v>12</v>
      </c>
      <c r="E27" s="3">
        <v>2.95</v>
      </c>
      <c r="F27" s="19">
        <v>678</v>
      </c>
      <c r="G27" s="3">
        <v>0.47</v>
      </c>
      <c r="H27" t="e" vm="13">
        <v>#VALUE!</v>
      </c>
      <c r="I27" t="e" cm="1" vm="14">
        <f t="array" ref="I27">_FV(H27,"Country/region",TRUE)</f>
        <v>#VALUE!</v>
      </c>
      <c r="J27" t="s">
        <v>14</v>
      </c>
      <c r="K27" t="s">
        <v>16</v>
      </c>
      <c r="L27" t="s">
        <v>20</v>
      </c>
      <c r="M27">
        <f>Table1[[#This Row],[Price]]*Table1[[#This Row],[Quantity]]</f>
        <v>2000.1000000000001</v>
      </c>
    </row>
    <row r="28" spans="2:13" x14ac:dyDescent="0.3">
      <c r="B28" s="3">
        <v>10479</v>
      </c>
      <c r="C28" s="4">
        <v>44877</v>
      </c>
      <c r="D28" t="s">
        <v>13</v>
      </c>
      <c r="E28" s="3">
        <v>4.99</v>
      </c>
      <c r="F28" s="19">
        <v>201</v>
      </c>
      <c r="G28" s="3">
        <v>2.25</v>
      </c>
      <c r="H28" t="e" vm="13">
        <v>#VALUE!</v>
      </c>
      <c r="I28" t="e" cm="1" vm="14">
        <f t="array" ref="I28">_FV(H28,"Country/region",TRUE)</f>
        <v>#VALUE!</v>
      </c>
      <c r="J28" t="s">
        <v>14</v>
      </c>
      <c r="K28" t="s">
        <v>16</v>
      </c>
      <c r="L28" t="s">
        <v>20</v>
      </c>
      <c r="M28">
        <f>Table1[[#This Row],[Price]]*Table1[[#This Row],[Quantity]]</f>
        <v>1002.99</v>
      </c>
    </row>
    <row r="29" spans="2:13" x14ac:dyDescent="0.3">
      <c r="B29" s="3">
        <v>10480</v>
      </c>
      <c r="C29" s="4">
        <v>44878</v>
      </c>
      <c r="D29" t="s">
        <v>15</v>
      </c>
      <c r="E29" s="3">
        <v>12.99</v>
      </c>
      <c r="F29" s="19">
        <v>509</v>
      </c>
      <c r="G29" s="3">
        <v>4.32</v>
      </c>
      <c r="H29" t="e" vm="13">
        <v>#VALUE!</v>
      </c>
      <c r="I29" t="e" cm="1" vm="14">
        <f t="array" ref="I29">_FV(H29,"Country/region",TRUE)</f>
        <v>#VALUE!</v>
      </c>
      <c r="J29" t="s">
        <v>14</v>
      </c>
      <c r="K29" t="s">
        <v>16</v>
      </c>
      <c r="L29" t="s">
        <v>20</v>
      </c>
      <c r="M29">
        <f>Table1[[#This Row],[Price]]*Table1[[#This Row],[Quantity]]</f>
        <v>6611.91</v>
      </c>
    </row>
    <row r="30" spans="2:13" x14ac:dyDescent="0.3">
      <c r="B30" s="3">
        <v>10481</v>
      </c>
      <c r="C30" s="4">
        <v>44878</v>
      </c>
      <c r="D30" t="s">
        <v>18</v>
      </c>
      <c r="E30" s="3">
        <v>9.9499999999999993</v>
      </c>
      <c r="F30" s="19">
        <v>202</v>
      </c>
      <c r="G30" s="3">
        <v>2.85</v>
      </c>
      <c r="H30" t="e" vm="13">
        <v>#VALUE!</v>
      </c>
      <c r="I30" t="e" cm="1" vm="14">
        <f t="array" ref="I30">_FV(H30,"Country/region",TRUE)</f>
        <v>#VALUE!</v>
      </c>
      <c r="J30" t="s">
        <v>14</v>
      </c>
      <c r="K30" t="s">
        <v>16</v>
      </c>
      <c r="L30" t="s">
        <v>20</v>
      </c>
      <c r="M30">
        <f>Table1[[#This Row],[Price]]*Table1[[#This Row],[Quantity]]</f>
        <v>2009.8999999999999</v>
      </c>
    </row>
    <row r="31" spans="2:13" x14ac:dyDescent="0.3">
      <c r="B31" s="3">
        <v>10482</v>
      </c>
      <c r="C31" s="4">
        <v>44878</v>
      </c>
      <c r="D31" t="s">
        <v>9</v>
      </c>
      <c r="E31" s="3">
        <v>25.5</v>
      </c>
      <c r="F31" s="19">
        <v>631</v>
      </c>
      <c r="G31" s="3">
        <v>0.88</v>
      </c>
      <c r="H31" t="e" vm="15">
        <v>#VALUE!</v>
      </c>
      <c r="I31" t="e" cm="1" vm="16">
        <f t="array" ref="I31">_FV(H31,"Country/region",TRUE)</f>
        <v>#VALUE!</v>
      </c>
      <c r="J31" t="s">
        <v>14</v>
      </c>
      <c r="K31" t="s">
        <v>16</v>
      </c>
      <c r="L31" t="s">
        <v>21</v>
      </c>
      <c r="M31">
        <f>Table1[[#This Row],[Price]]*Table1[[#This Row],[Quantity]]</f>
        <v>16090.5</v>
      </c>
    </row>
    <row r="32" spans="2:13" x14ac:dyDescent="0.3">
      <c r="B32" s="3">
        <v>10483</v>
      </c>
      <c r="C32" s="4">
        <v>44878</v>
      </c>
      <c r="D32" t="s">
        <v>12</v>
      </c>
      <c r="E32" s="3">
        <v>33.22</v>
      </c>
      <c r="F32" s="19">
        <v>678</v>
      </c>
      <c r="G32" s="3">
        <v>0.47</v>
      </c>
      <c r="H32" t="e" vm="15">
        <v>#VALUE!</v>
      </c>
      <c r="I32" t="e" cm="1" vm="16">
        <f t="array" ref="I32">_FV(H32,"Country/region",TRUE)</f>
        <v>#VALUE!</v>
      </c>
      <c r="J32" t="s">
        <v>14</v>
      </c>
      <c r="K32" t="s">
        <v>16</v>
      </c>
      <c r="L32" t="s">
        <v>21</v>
      </c>
      <c r="M32">
        <f>Table1[[#This Row],[Price]]*Table1[[#This Row],[Quantity]]</f>
        <v>22523.16</v>
      </c>
    </row>
    <row r="33" spans="2:13" x14ac:dyDescent="0.3">
      <c r="B33" s="3">
        <v>10484</v>
      </c>
      <c r="C33" s="4">
        <v>44878</v>
      </c>
      <c r="D33" t="s">
        <v>13</v>
      </c>
      <c r="E33" s="3">
        <v>21.44</v>
      </c>
      <c r="F33" s="19">
        <v>201</v>
      </c>
      <c r="G33" s="3">
        <v>2.25</v>
      </c>
      <c r="H33" t="e" vm="15">
        <v>#VALUE!</v>
      </c>
      <c r="I33" t="e" cm="1" vm="16">
        <f t="array" ref="I33">_FV(H33,"Country/region",TRUE)</f>
        <v>#VALUE!</v>
      </c>
      <c r="J33" t="s">
        <v>14</v>
      </c>
      <c r="K33" t="s">
        <v>16</v>
      </c>
      <c r="L33" t="s">
        <v>21</v>
      </c>
      <c r="M33">
        <f>Table1[[#This Row],[Price]]*Table1[[#This Row],[Quantity]]</f>
        <v>4309.4400000000005</v>
      </c>
    </row>
    <row r="34" spans="2:13" x14ac:dyDescent="0.3">
      <c r="B34" s="3">
        <v>10485</v>
      </c>
      <c r="C34" s="4">
        <v>44879</v>
      </c>
      <c r="D34" t="s">
        <v>15</v>
      </c>
      <c r="E34" s="3">
        <v>27.99</v>
      </c>
      <c r="F34" s="19">
        <v>524</v>
      </c>
      <c r="G34" s="3">
        <v>4.32</v>
      </c>
      <c r="H34" t="e" vm="15">
        <v>#VALUE!</v>
      </c>
      <c r="I34" t="e" cm="1" vm="16">
        <f t="array" ref="I34">_FV(H34,"Country/region",TRUE)</f>
        <v>#VALUE!</v>
      </c>
      <c r="J34" t="s">
        <v>14</v>
      </c>
      <c r="K34" t="s">
        <v>16</v>
      </c>
      <c r="L34" t="s">
        <v>21</v>
      </c>
      <c r="M34">
        <f>Table1[[#This Row],[Price]]*Table1[[#This Row],[Quantity]]</f>
        <v>14666.759999999998</v>
      </c>
    </row>
    <row r="35" spans="2:13" x14ac:dyDescent="0.3">
      <c r="B35" s="3">
        <v>10486</v>
      </c>
      <c r="C35" s="4">
        <v>44879</v>
      </c>
      <c r="D35" t="s">
        <v>18</v>
      </c>
      <c r="E35" s="3">
        <v>29.05</v>
      </c>
      <c r="F35" s="19">
        <v>202</v>
      </c>
      <c r="G35" s="3">
        <v>2.85</v>
      </c>
      <c r="H35" t="e" vm="15">
        <v>#VALUE!</v>
      </c>
      <c r="I35" t="e" cm="1" vm="16">
        <f t="array" ref="I35">_FV(H35,"Country/region",TRUE)</f>
        <v>#VALUE!</v>
      </c>
      <c r="J35" t="s">
        <v>14</v>
      </c>
      <c r="K35" t="s">
        <v>16</v>
      </c>
      <c r="L35" t="s">
        <v>21</v>
      </c>
      <c r="M35">
        <f>Table1[[#This Row],[Price]]*Table1[[#This Row],[Quantity]]</f>
        <v>5868.1</v>
      </c>
    </row>
    <row r="36" spans="2:13" x14ac:dyDescent="0.3">
      <c r="B36" s="3">
        <v>10487</v>
      </c>
      <c r="C36" s="4">
        <v>44879</v>
      </c>
      <c r="D36" t="s">
        <v>9</v>
      </c>
      <c r="E36" s="3">
        <v>3.49</v>
      </c>
      <c r="F36" s="19">
        <v>631</v>
      </c>
      <c r="G36" s="3">
        <v>0.88</v>
      </c>
      <c r="H36" t="e" vm="15">
        <v>#VALUE!</v>
      </c>
      <c r="I36" t="e" cm="1" vm="16">
        <f t="array" ref="I36">_FV(H36,"Country/region",TRUE)</f>
        <v>#VALUE!</v>
      </c>
      <c r="J36" t="s">
        <v>14</v>
      </c>
      <c r="K36" t="s">
        <v>16</v>
      </c>
      <c r="L36" t="s">
        <v>21</v>
      </c>
      <c r="M36">
        <f>Table1[[#This Row],[Price]]*Table1[[#This Row],[Quantity]]</f>
        <v>2202.19</v>
      </c>
    </row>
    <row r="37" spans="2:13" x14ac:dyDescent="0.3">
      <c r="B37" s="3">
        <v>10488</v>
      </c>
      <c r="C37" s="4">
        <v>44879</v>
      </c>
      <c r="D37" t="s">
        <v>12</v>
      </c>
      <c r="E37" s="3">
        <v>2.95</v>
      </c>
      <c r="F37" s="19">
        <v>678</v>
      </c>
      <c r="G37" s="3">
        <v>0.47</v>
      </c>
      <c r="H37" t="e" vm="15">
        <v>#VALUE!</v>
      </c>
      <c r="I37" t="e" cm="1" vm="16">
        <f t="array" ref="I37">_FV(H37,"Country/region",TRUE)</f>
        <v>#VALUE!</v>
      </c>
      <c r="J37" t="s">
        <v>14</v>
      </c>
      <c r="K37" t="s">
        <v>16</v>
      </c>
      <c r="L37" t="s">
        <v>21</v>
      </c>
      <c r="M37">
        <f>Table1[[#This Row],[Price]]*Table1[[#This Row],[Quantity]]</f>
        <v>2000.1000000000001</v>
      </c>
    </row>
    <row r="38" spans="2:13" x14ac:dyDescent="0.3">
      <c r="B38" s="3">
        <v>10489</v>
      </c>
      <c r="C38" s="4">
        <v>44879</v>
      </c>
      <c r="D38" t="s">
        <v>13</v>
      </c>
      <c r="E38" s="3">
        <v>4.99</v>
      </c>
      <c r="F38" s="19">
        <v>201</v>
      </c>
      <c r="G38" s="3">
        <v>2.25</v>
      </c>
      <c r="H38" t="e" vm="13">
        <v>#VALUE!</v>
      </c>
      <c r="I38" t="e" cm="1" vm="14">
        <f t="array" ref="I38">_FV(H38,"Country/region",TRUE)</f>
        <v>#VALUE!</v>
      </c>
      <c r="J38" t="s">
        <v>14</v>
      </c>
      <c r="K38" t="s">
        <v>16</v>
      </c>
      <c r="L38" t="s">
        <v>20</v>
      </c>
      <c r="M38">
        <f>Table1[[#This Row],[Price]]*Table1[[#This Row],[Quantity]]</f>
        <v>1002.99</v>
      </c>
    </row>
    <row r="39" spans="2:13" x14ac:dyDescent="0.3">
      <c r="B39" s="3">
        <v>10490</v>
      </c>
      <c r="C39" s="4">
        <v>44880</v>
      </c>
      <c r="D39" t="s">
        <v>15</v>
      </c>
      <c r="E39" s="3">
        <v>12.99</v>
      </c>
      <c r="F39" s="19">
        <v>509</v>
      </c>
      <c r="G39" s="3">
        <v>4.32</v>
      </c>
      <c r="H39" t="e" vm="13">
        <v>#VALUE!</v>
      </c>
      <c r="I39" t="e" cm="1" vm="14">
        <f t="array" ref="I39">_FV(H39,"Country/region",TRUE)</f>
        <v>#VALUE!</v>
      </c>
      <c r="J39" t="s">
        <v>14</v>
      </c>
      <c r="K39" t="s">
        <v>16</v>
      </c>
      <c r="L39" t="s">
        <v>20</v>
      </c>
      <c r="M39">
        <f>Table1[[#This Row],[Price]]*Table1[[#This Row],[Quantity]]</f>
        <v>6611.91</v>
      </c>
    </row>
    <row r="40" spans="2:13" x14ac:dyDescent="0.3">
      <c r="B40" s="3">
        <v>10491</v>
      </c>
      <c r="C40" s="4">
        <v>44880</v>
      </c>
      <c r="D40" t="s">
        <v>18</v>
      </c>
      <c r="E40" s="3">
        <v>9.9499999999999993</v>
      </c>
      <c r="F40" s="19">
        <v>202</v>
      </c>
      <c r="G40" s="3">
        <v>2.85</v>
      </c>
      <c r="H40" t="e" vm="13">
        <v>#VALUE!</v>
      </c>
      <c r="I40" t="e" cm="1" vm="14">
        <f t="array" ref="I40">_FV(H40,"Country/region",TRUE)</f>
        <v>#VALUE!</v>
      </c>
      <c r="J40" t="s">
        <v>14</v>
      </c>
      <c r="K40" t="s">
        <v>16</v>
      </c>
      <c r="L40" t="s">
        <v>20</v>
      </c>
      <c r="M40">
        <f>Table1[[#This Row],[Price]]*Table1[[#This Row],[Quantity]]</f>
        <v>2009.8999999999999</v>
      </c>
    </row>
    <row r="41" spans="2:13" x14ac:dyDescent="0.3">
      <c r="B41" s="3">
        <v>10492</v>
      </c>
      <c r="C41" s="4">
        <v>44880</v>
      </c>
      <c r="D41" t="s">
        <v>9</v>
      </c>
      <c r="E41" s="3">
        <v>3.49</v>
      </c>
      <c r="F41" s="19">
        <v>574</v>
      </c>
      <c r="G41" s="3">
        <v>0.88</v>
      </c>
      <c r="H41" t="e" vm="13">
        <v>#VALUE!</v>
      </c>
      <c r="I41" t="e" cm="1" vm="14">
        <f t="array" ref="I41">_FV(H41,"Country/region",TRUE)</f>
        <v>#VALUE!</v>
      </c>
      <c r="J41" t="s">
        <v>14</v>
      </c>
      <c r="K41" t="s">
        <v>16</v>
      </c>
      <c r="L41" t="s">
        <v>20</v>
      </c>
      <c r="M41">
        <f>Table1[[#This Row],[Price]]*Table1[[#This Row],[Quantity]]</f>
        <v>2003.2600000000002</v>
      </c>
    </row>
    <row r="42" spans="2:13" x14ac:dyDescent="0.3">
      <c r="B42" s="3">
        <v>10493</v>
      </c>
      <c r="C42" s="4">
        <v>44880</v>
      </c>
      <c r="D42" t="s">
        <v>12</v>
      </c>
      <c r="E42" s="3">
        <v>2.95</v>
      </c>
      <c r="F42" s="19">
        <v>678</v>
      </c>
      <c r="G42" s="3">
        <v>0.47</v>
      </c>
      <c r="H42" t="e" vm="13">
        <v>#VALUE!</v>
      </c>
      <c r="I42" t="e" cm="1" vm="14">
        <f t="array" ref="I42">_FV(H42,"Country/region",TRUE)</f>
        <v>#VALUE!</v>
      </c>
      <c r="J42" t="s">
        <v>14</v>
      </c>
      <c r="K42" t="s">
        <v>16</v>
      </c>
      <c r="L42" t="s">
        <v>20</v>
      </c>
      <c r="M42">
        <f>Table1[[#This Row],[Price]]*Table1[[#This Row],[Quantity]]</f>
        <v>2000.1000000000001</v>
      </c>
    </row>
    <row r="43" spans="2:13" x14ac:dyDescent="0.3">
      <c r="B43" s="3">
        <v>10494</v>
      </c>
      <c r="C43" s="4">
        <v>44880</v>
      </c>
      <c r="D43" t="s">
        <v>13</v>
      </c>
      <c r="E43" s="3">
        <v>4.99</v>
      </c>
      <c r="F43" s="19">
        <v>201</v>
      </c>
      <c r="G43" s="3">
        <v>2.25</v>
      </c>
      <c r="H43" t="e" vm="13">
        <v>#VALUE!</v>
      </c>
      <c r="I43" t="e" cm="1" vm="14">
        <f t="array" ref="I43">_FV(H43,"Country/region",TRUE)</f>
        <v>#VALUE!</v>
      </c>
      <c r="J43" t="s">
        <v>14</v>
      </c>
      <c r="K43" t="s">
        <v>16</v>
      </c>
      <c r="L43" t="s">
        <v>20</v>
      </c>
      <c r="M43">
        <f>Table1[[#This Row],[Price]]*Table1[[#This Row],[Quantity]]</f>
        <v>1002.99</v>
      </c>
    </row>
    <row r="44" spans="2:13" x14ac:dyDescent="0.3">
      <c r="B44" s="3">
        <v>10495</v>
      </c>
      <c r="C44" s="4">
        <v>44881</v>
      </c>
      <c r="D44" t="s">
        <v>15</v>
      </c>
      <c r="E44" s="3">
        <v>12.99</v>
      </c>
      <c r="F44" s="19">
        <v>509</v>
      </c>
      <c r="G44" s="3">
        <v>4.32</v>
      </c>
      <c r="H44" t="e" vm="13">
        <v>#VALUE!</v>
      </c>
      <c r="I44" t="e" cm="1" vm="14">
        <f t="array" ref="I44">_FV(H44,"Country/region",TRUE)</f>
        <v>#VALUE!</v>
      </c>
      <c r="J44" t="s">
        <v>14</v>
      </c>
      <c r="K44" t="s">
        <v>16</v>
      </c>
      <c r="L44" t="s">
        <v>20</v>
      </c>
      <c r="M44">
        <f>Table1[[#This Row],[Price]]*Table1[[#This Row],[Quantity]]</f>
        <v>6611.91</v>
      </c>
    </row>
    <row r="45" spans="2:13" x14ac:dyDescent="0.3">
      <c r="B45" s="3">
        <v>10496</v>
      </c>
      <c r="C45" s="4">
        <v>44881</v>
      </c>
      <c r="D45" t="s">
        <v>18</v>
      </c>
      <c r="E45" s="3">
        <v>9.9499999999999993</v>
      </c>
      <c r="F45" s="19">
        <v>202</v>
      </c>
      <c r="G45" s="3">
        <v>2.85</v>
      </c>
      <c r="H45" t="e" vm="13">
        <v>#VALUE!</v>
      </c>
      <c r="I45" t="e" cm="1" vm="14">
        <f t="array" ref="I45">_FV(H45,"Country/region",TRUE)</f>
        <v>#VALUE!</v>
      </c>
      <c r="J45" t="s">
        <v>14</v>
      </c>
      <c r="K45" t="s">
        <v>16</v>
      </c>
      <c r="L45" t="s">
        <v>20</v>
      </c>
      <c r="M45">
        <f>Table1[[#This Row],[Price]]*Table1[[#This Row],[Quantity]]</f>
        <v>2009.8999999999999</v>
      </c>
    </row>
    <row r="46" spans="2:13" x14ac:dyDescent="0.3">
      <c r="B46" s="3">
        <v>10497</v>
      </c>
      <c r="C46" s="4">
        <v>44881</v>
      </c>
      <c r="D46" t="s">
        <v>9</v>
      </c>
      <c r="E46" s="3">
        <v>3.49</v>
      </c>
      <c r="F46" s="19">
        <v>574</v>
      </c>
      <c r="G46" s="3">
        <v>0.88</v>
      </c>
      <c r="H46" t="e" vm="13">
        <v>#VALUE!</v>
      </c>
      <c r="I46" t="e" cm="1" vm="14">
        <f t="array" ref="I46">_FV(H46,"Country/region",TRUE)</f>
        <v>#VALUE!</v>
      </c>
      <c r="J46" t="s">
        <v>14</v>
      </c>
      <c r="K46" t="s">
        <v>16</v>
      </c>
      <c r="L46" t="s">
        <v>20</v>
      </c>
      <c r="M46">
        <f>Table1[[#This Row],[Price]]*Table1[[#This Row],[Quantity]]</f>
        <v>2003.2600000000002</v>
      </c>
    </row>
    <row r="47" spans="2:13" x14ac:dyDescent="0.3">
      <c r="B47" s="3">
        <v>10498</v>
      </c>
      <c r="C47" s="4">
        <v>44881</v>
      </c>
      <c r="D47" t="s">
        <v>12</v>
      </c>
      <c r="E47" s="3">
        <v>2.95</v>
      </c>
      <c r="F47" s="19">
        <v>678</v>
      </c>
      <c r="G47" s="3">
        <v>0.47</v>
      </c>
      <c r="H47" t="e" vm="13">
        <v>#VALUE!</v>
      </c>
      <c r="I47" t="e" cm="1" vm="14">
        <f t="array" ref="I47">_FV(H47,"Country/region",TRUE)</f>
        <v>#VALUE!</v>
      </c>
      <c r="J47" t="s">
        <v>22</v>
      </c>
      <c r="K47" t="s">
        <v>16</v>
      </c>
      <c r="L47" t="s">
        <v>20</v>
      </c>
      <c r="M47">
        <f>Table1[[#This Row],[Price]]*Table1[[#This Row],[Quantity]]</f>
        <v>2000.1000000000001</v>
      </c>
    </row>
    <row r="48" spans="2:13" x14ac:dyDescent="0.3">
      <c r="B48" s="3">
        <v>10499</v>
      </c>
      <c r="C48" s="4">
        <v>44881</v>
      </c>
      <c r="D48" t="s">
        <v>13</v>
      </c>
      <c r="E48" s="3">
        <v>4.99</v>
      </c>
      <c r="F48" s="19">
        <v>201</v>
      </c>
      <c r="G48" s="3">
        <v>2.25</v>
      </c>
      <c r="H48" t="e" vm="13">
        <v>#VALUE!</v>
      </c>
      <c r="I48" t="e" cm="1" vm="14">
        <f t="array" ref="I48">_FV(H48,"Country/region",TRUE)</f>
        <v>#VALUE!</v>
      </c>
      <c r="J48" t="s">
        <v>22</v>
      </c>
      <c r="K48" t="s">
        <v>16</v>
      </c>
      <c r="L48" t="s">
        <v>20</v>
      </c>
      <c r="M48">
        <f>Table1[[#This Row],[Price]]*Table1[[#This Row],[Quantity]]</f>
        <v>1002.99</v>
      </c>
    </row>
    <row r="49" spans="2:13" x14ac:dyDescent="0.3">
      <c r="B49" s="3">
        <v>10500</v>
      </c>
      <c r="C49" s="4">
        <v>44882</v>
      </c>
      <c r="D49" t="s">
        <v>15</v>
      </c>
      <c r="E49" s="3">
        <v>12.99</v>
      </c>
      <c r="F49" s="19">
        <v>524</v>
      </c>
      <c r="G49" s="3">
        <v>4.32</v>
      </c>
      <c r="H49" t="e" vm="13">
        <v>#VALUE!</v>
      </c>
      <c r="I49" t="e" cm="1" vm="14">
        <f t="array" ref="I49">_FV(H49,"Country/region",TRUE)</f>
        <v>#VALUE!</v>
      </c>
      <c r="J49" t="s">
        <v>22</v>
      </c>
      <c r="K49" t="s">
        <v>16</v>
      </c>
      <c r="L49" t="s">
        <v>20</v>
      </c>
      <c r="M49">
        <f>Table1[[#This Row],[Price]]*Table1[[#This Row],[Quantity]]</f>
        <v>6806.76</v>
      </c>
    </row>
    <row r="50" spans="2:13" x14ac:dyDescent="0.3">
      <c r="B50" s="3">
        <v>10501</v>
      </c>
      <c r="C50" s="4">
        <v>44882</v>
      </c>
      <c r="D50" t="s">
        <v>18</v>
      </c>
      <c r="E50" s="3">
        <v>9.9499999999999993</v>
      </c>
      <c r="F50" s="19">
        <v>202</v>
      </c>
      <c r="G50" s="3">
        <v>2.85</v>
      </c>
      <c r="H50" t="e" vm="13">
        <v>#VALUE!</v>
      </c>
      <c r="I50" t="e" cm="1" vm="14">
        <f t="array" ref="I50">_FV(H50,"Country/region",TRUE)</f>
        <v>#VALUE!</v>
      </c>
      <c r="J50" t="s">
        <v>22</v>
      </c>
      <c r="K50" t="s">
        <v>16</v>
      </c>
      <c r="L50" t="s">
        <v>20</v>
      </c>
      <c r="M50">
        <f>Table1[[#This Row],[Price]]*Table1[[#This Row],[Quantity]]</f>
        <v>2009.8999999999999</v>
      </c>
    </row>
    <row r="51" spans="2:13" x14ac:dyDescent="0.3">
      <c r="B51" s="3">
        <v>10502</v>
      </c>
      <c r="C51" s="4">
        <v>44882</v>
      </c>
      <c r="D51" t="s">
        <v>9</v>
      </c>
      <c r="E51" s="3">
        <v>3.49</v>
      </c>
      <c r="F51" s="19">
        <v>631</v>
      </c>
      <c r="G51" s="3">
        <v>0.88</v>
      </c>
      <c r="H51" t="e" vm="13">
        <v>#VALUE!</v>
      </c>
      <c r="I51" t="e" cm="1" vm="14">
        <f t="array" ref="I51">_FV(H51,"Country/region",TRUE)</f>
        <v>#VALUE!</v>
      </c>
      <c r="J51" t="s">
        <v>22</v>
      </c>
      <c r="K51" t="s">
        <v>16</v>
      </c>
      <c r="L51" t="s">
        <v>20</v>
      </c>
      <c r="M51">
        <f>Table1[[#This Row],[Price]]*Table1[[#This Row],[Quantity]]</f>
        <v>2202.19</v>
      </c>
    </row>
    <row r="52" spans="2:13" x14ac:dyDescent="0.3">
      <c r="B52" s="3">
        <v>10503</v>
      </c>
      <c r="C52" s="4">
        <v>44882</v>
      </c>
      <c r="D52" t="s">
        <v>12</v>
      </c>
      <c r="E52" s="3">
        <v>2.95</v>
      </c>
      <c r="F52" s="19">
        <v>678</v>
      </c>
      <c r="G52" s="3">
        <v>0.47</v>
      </c>
      <c r="H52" t="e" vm="13">
        <v>#VALUE!</v>
      </c>
      <c r="I52" t="e" cm="1" vm="14">
        <f t="array" ref="I52">_FV(H52,"Country/region",TRUE)</f>
        <v>#VALUE!</v>
      </c>
      <c r="J52" t="s">
        <v>22</v>
      </c>
      <c r="K52" t="s">
        <v>16</v>
      </c>
      <c r="L52" t="s">
        <v>20</v>
      </c>
      <c r="M52">
        <f>Table1[[#This Row],[Price]]*Table1[[#This Row],[Quantity]]</f>
        <v>2000.1000000000001</v>
      </c>
    </row>
    <row r="53" spans="2:13" x14ac:dyDescent="0.3">
      <c r="B53" s="3">
        <v>10504</v>
      </c>
      <c r="C53" s="4">
        <v>44882</v>
      </c>
      <c r="D53" t="s">
        <v>13</v>
      </c>
      <c r="E53" s="3">
        <v>4.99</v>
      </c>
      <c r="F53" s="19">
        <v>201</v>
      </c>
      <c r="G53" s="3">
        <v>2.25</v>
      </c>
      <c r="H53" t="e" vm="13">
        <v>#VALUE!</v>
      </c>
      <c r="I53" t="e" cm="1" vm="14">
        <f t="array" ref="I53">_FV(H53,"Country/region",TRUE)</f>
        <v>#VALUE!</v>
      </c>
      <c r="J53" t="s">
        <v>22</v>
      </c>
      <c r="K53" t="s">
        <v>16</v>
      </c>
      <c r="L53" t="s">
        <v>20</v>
      </c>
      <c r="M53">
        <f>Table1[[#This Row],[Price]]*Table1[[#This Row],[Quantity]]</f>
        <v>1002.99</v>
      </c>
    </row>
    <row r="54" spans="2:13" x14ac:dyDescent="0.3">
      <c r="B54" s="3">
        <v>10505</v>
      </c>
      <c r="C54" s="4">
        <v>44883</v>
      </c>
      <c r="D54" t="s">
        <v>15</v>
      </c>
      <c r="E54" s="3">
        <v>12.99</v>
      </c>
      <c r="F54" s="19">
        <v>539</v>
      </c>
      <c r="G54" s="3">
        <v>4.32</v>
      </c>
      <c r="H54" t="e" vm="13">
        <v>#VALUE!</v>
      </c>
      <c r="I54" t="e" cm="1" vm="14">
        <f t="array" ref="I54">_FV(H54,"Country/region",TRUE)</f>
        <v>#VALUE!</v>
      </c>
      <c r="J54" t="s">
        <v>22</v>
      </c>
      <c r="K54" t="s">
        <v>16</v>
      </c>
      <c r="L54" t="s">
        <v>20</v>
      </c>
      <c r="M54">
        <f>Table1[[#This Row],[Price]]*Table1[[#This Row],[Quantity]]</f>
        <v>7001.61</v>
      </c>
    </row>
    <row r="55" spans="2:13" x14ac:dyDescent="0.3">
      <c r="B55" s="3">
        <v>10506</v>
      </c>
      <c r="C55" s="4">
        <v>44883</v>
      </c>
      <c r="D55" t="s">
        <v>18</v>
      </c>
      <c r="E55" s="3">
        <v>9.9499999999999993</v>
      </c>
      <c r="F55" s="19">
        <v>202</v>
      </c>
      <c r="G55" s="3">
        <v>2.85</v>
      </c>
      <c r="H55" t="e" vm="13">
        <v>#VALUE!</v>
      </c>
      <c r="I55" t="e" cm="1" vm="14">
        <f t="array" ref="I55">_FV(H55,"Country/region",TRUE)</f>
        <v>#VALUE!</v>
      </c>
      <c r="J55" t="s">
        <v>22</v>
      </c>
      <c r="K55" t="s">
        <v>16</v>
      </c>
      <c r="L55" t="s">
        <v>20</v>
      </c>
      <c r="M55">
        <f>Table1[[#This Row],[Price]]*Table1[[#This Row],[Quantity]]</f>
        <v>2009.8999999999999</v>
      </c>
    </row>
    <row r="56" spans="2:13" x14ac:dyDescent="0.3">
      <c r="B56" s="3">
        <v>10507</v>
      </c>
      <c r="C56" s="4">
        <v>44883</v>
      </c>
      <c r="D56" t="s">
        <v>9</v>
      </c>
      <c r="E56" s="3">
        <v>3.49</v>
      </c>
      <c r="F56" s="19">
        <v>688</v>
      </c>
      <c r="G56" s="3">
        <v>0.88</v>
      </c>
      <c r="H56" t="e" vm="13">
        <v>#VALUE!</v>
      </c>
      <c r="I56" t="e" cm="1" vm="14">
        <f t="array" ref="I56">_FV(H56,"Country/region",TRUE)</f>
        <v>#VALUE!</v>
      </c>
      <c r="J56" t="s">
        <v>22</v>
      </c>
      <c r="K56" t="s">
        <v>16</v>
      </c>
      <c r="L56" t="s">
        <v>20</v>
      </c>
      <c r="M56">
        <f>Table1[[#This Row],[Price]]*Table1[[#This Row],[Quantity]]</f>
        <v>2401.1200000000003</v>
      </c>
    </row>
    <row r="57" spans="2:13" x14ac:dyDescent="0.3">
      <c r="B57" s="3">
        <v>10508</v>
      </c>
      <c r="C57" s="4">
        <v>44883</v>
      </c>
      <c r="D57" t="s">
        <v>12</v>
      </c>
      <c r="E57" s="3">
        <v>2.95</v>
      </c>
      <c r="F57" s="19">
        <v>678</v>
      </c>
      <c r="G57" s="3">
        <v>0.47</v>
      </c>
      <c r="H57" t="e" vm="13">
        <v>#VALUE!</v>
      </c>
      <c r="I57" t="e" cm="1" vm="14">
        <f t="array" ref="I57">_FV(H57,"Country/region",TRUE)</f>
        <v>#VALUE!</v>
      </c>
      <c r="J57" t="s">
        <v>22</v>
      </c>
      <c r="K57" t="s">
        <v>16</v>
      </c>
      <c r="L57" t="s">
        <v>20</v>
      </c>
      <c r="M57">
        <f>Table1[[#This Row],[Price]]*Table1[[#This Row],[Quantity]]</f>
        <v>2000.1000000000001</v>
      </c>
    </row>
    <row r="58" spans="2:13" x14ac:dyDescent="0.3">
      <c r="B58" s="3">
        <v>10509</v>
      </c>
      <c r="C58" s="4">
        <v>44883</v>
      </c>
      <c r="D58" t="s">
        <v>13</v>
      </c>
      <c r="E58" s="3">
        <v>4.99</v>
      </c>
      <c r="F58" s="19">
        <v>201</v>
      </c>
      <c r="G58" s="3">
        <v>2.25</v>
      </c>
      <c r="H58" t="e" vm="13">
        <v>#VALUE!</v>
      </c>
      <c r="I58" t="e" cm="1" vm="14">
        <f t="array" ref="I58">_FV(H58,"Country/region",TRUE)</f>
        <v>#VALUE!</v>
      </c>
      <c r="J58" t="s">
        <v>22</v>
      </c>
      <c r="K58" t="s">
        <v>16</v>
      </c>
      <c r="L58" t="s">
        <v>20</v>
      </c>
      <c r="M58">
        <f>Table1[[#This Row],[Price]]*Table1[[#This Row],[Quantity]]</f>
        <v>1002.99</v>
      </c>
    </row>
    <row r="59" spans="2:13" x14ac:dyDescent="0.3">
      <c r="B59" s="3">
        <v>10510</v>
      </c>
      <c r="C59" s="4">
        <v>44884</v>
      </c>
      <c r="D59" t="s">
        <v>15</v>
      </c>
      <c r="E59" s="3">
        <v>12.99</v>
      </c>
      <c r="F59" s="19">
        <v>509</v>
      </c>
      <c r="G59" s="3">
        <v>4.32</v>
      </c>
      <c r="H59" t="e" vm="13">
        <v>#VALUE!</v>
      </c>
      <c r="I59" t="e" cm="1" vm="14">
        <f t="array" ref="I59">_FV(H59,"Country/region",TRUE)</f>
        <v>#VALUE!</v>
      </c>
      <c r="J59" t="s">
        <v>22</v>
      </c>
      <c r="K59" t="s">
        <v>16</v>
      </c>
      <c r="L59" t="s">
        <v>20</v>
      </c>
      <c r="M59">
        <f>Table1[[#This Row],[Price]]*Table1[[#This Row],[Quantity]]</f>
        <v>6611.91</v>
      </c>
    </row>
    <row r="60" spans="2:13" x14ac:dyDescent="0.3">
      <c r="B60" s="3">
        <v>10511</v>
      </c>
      <c r="C60" s="4">
        <v>44884</v>
      </c>
      <c r="D60" t="s">
        <v>18</v>
      </c>
      <c r="E60" s="3">
        <v>9.9499999999999993</v>
      </c>
      <c r="F60" s="19">
        <v>202</v>
      </c>
      <c r="G60" s="3">
        <v>2.85</v>
      </c>
      <c r="H60" t="e" vm="15">
        <v>#VALUE!</v>
      </c>
      <c r="I60" t="e" cm="1" vm="16">
        <f t="array" ref="I60">_FV(H60,"Country/region",TRUE)</f>
        <v>#VALUE!</v>
      </c>
      <c r="J60" t="s">
        <v>22</v>
      </c>
      <c r="K60" t="s">
        <v>16</v>
      </c>
      <c r="L60" t="s">
        <v>21</v>
      </c>
      <c r="M60">
        <f>Table1[[#This Row],[Price]]*Table1[[#This Row],[Quantity]]</f>
        <v>2009.8999999999999</v>
      </c>
    </row>
    <row r="61" spans="2:13" x14ac:dyDescent="0.3">
      <c r="B61" s="3">
        <v>10512</v>
      </c>
      <c r="C61" s="4">
        <v>44884</v>
      </c>
      <c r="D61" t="s">
        <v>9</v>
      </c>
      <c r="E61" s="3">
        <v>3.49</v>
      </c>
      <c r="F61" s="19">
        <v>688</v>
      </c>
      <c r="G61" s="3">
        <v>0.88</v>
      </c>
      <c r="H61" t="e" vm="15">
        <v>#VALUE!</v>
      </c>
      <c r="I61" t="e" cm="1" vm="16">
        <f t="array" ref="I61">_FV(H61,"Country/region",TRUE)</f>
        <v>#VALUE!</v>
      </c>
      <c r="J61" t="s">
        <v>22</v>
      </c>
      <c r="K61" t="s">
        <v>16</v>
      </c>
      <c r="L61" t="s">
        <v>21</v>
      </c>
      <c r="M61">
        <f>Table1[[#This Row],[Price]]*Table1[[#This Row],[Quantity]]</f>
        <v>2401.1200000000003</v>
      </c>
    </row>
    <row r="62" spans="2:13" x14ac:dyDescent="0.3">
      <c r="B62" s="3">
        <v>10513</v>
      </c>
      <c r="C62" s="4">
        <v>44884</v>
      </c>
      <c r="D62" t="s">
        <v>12</v>
      </c>
      <c r="E62" s="3">
        <v>2.95</v>
      </c>
      <c r="F62" s="19">
        <v>678</v>
      </c>
      <c r="G62" s="3">
        <v>0.47</v>
      </c>
      <c r="H62" t="e" vm="15">
        <v>#VALUE!</v>
      </c>
      <c r="I62" t="e" cm="1" vm="16">
        <f t="array" ref="I62">_FV(H62,"Country/region",TRUE)</f>
        <v>#VALUE!</v>
      </c>
      <c r="J62" t="s">
        <v>22</v>
      </c>
      <c r="K62" t="s">
        <v>23</v>
      </c>
      <c r="L62" t="s">
        <v>21</v>
      </c>
      <c r="M62">
        <f>Table1[[#This Row],[Price]]*Table1[[#This Row],[Quantity]]</f>
        <v>2000.1000000000001</v>
      </c>
    </row>
    <row r="63" spans="2:13" x14ac:dyDescent="0.3">
      <c r="B63" s="3">
        <v>10514</v>
      </c>
      <c r="C63" s="4">
        <v>44884</v>
      </c>
      <c r="D63" t="s">
        <v>13</v>
      </c>
      <c r="E63" s="3">
        <v>4.99</v>
      </c>
      <c r="F63" s="19">
        <v>201</v>
      </c>
      <c r="G63" s="3">
        <v>2.25</v>
      </c>
      <c r="H63" t="e" vm="15">
        <v>#VALUE!</v>
      </c>
      <c r="I63" t="e" cm="1" vm="16">
        <f t="array" ref="I63">_FV(H63,"Country/region",TRUE)</f>
        <v>#VALUE!</v>
      </c>
      <c r="J63" t="s">
        <v>22</v>
      </c>
      <c r="K63" t="s">
        <v>23</v>
      </c>
      <c r="L63" t="s">
        <v>21</v>
      </c>
      <c r="M63">
        <f>Table1[[#This Row],[Price]]*Table1[[#This Row],[Quantity]]</f>
        <v>1002.99</v>
      </c>
    </row>
    <row r="64" spans="2:13" x14ac:dyDescent="0.3">
      <c r="B64" s="3">
        <v>10515</v>
      </c>
      <c r="C64" s="4">
        <v>44885</v>
      </c>
      <c r="D64" t="s">
        <v>15</v>
      </c>
      <c r="E64" s="3">
        <v>12.99</v>
      </c>
      <c r="F64" s="19">
        <v>478</v>
      </c>
      <c r="G64" s="3">
        <v>4.32</v>
      </c>
      <c r="H64" t="e" vm="15">
        <v>#VALUE!</v>
      </c>
      <c r="I64" t="e" cm="1" vm="16">
        <f t="array" ref="I64">_FV(H64,"Country/region",TRUE)</f>
        <v>#VALUE!</v>
      </c>
      <c r="J64" t="s">
        <v>22</v>
      </c>
      <c r="K64" t="s">
        <v>23</v>
      </c>
      <c r="L64" t="s">
        <v>21</v>
      </c>
      <c r="M64">
        <f>Table1[[#This Row],[Price]]*Table1[[#This Row],[Quantity]]</f>
        <v>6209.22</v>
      </c>
    </row>
    <row r="65" spans="2:13" x14ac:dyDescent="0.3">
      <c r="B65" s="3">
        <v>10516</v>
      </c>
      <c r="C65" s="4">
        <v>44885</v>
      </c>
      <c r="D65" t="s">
        <v>18</v>
      </c>
      <c r="E65" s="3">
        <v>9.9499999999999993</v>
      </c>
      <c r="F65" s="19">
        <v>202</v>
      </c>
      <c r="G65" s="3">
        <v>2.85</v>
      </c>
      <c r="H65" t="e" vm="15">
        <v>#VALUE!</v>
      </c>
      <c r="I65" t="e" cm="1" vm="16">
        <f t="array" ref="I65">_FV(H65,"Country/region",TRUE)</f>
        <v>#VALUE!</v>
      </c>
      <c r="J65" t="s">
        <v>22</v>
      </c>
      <c r="K65" t="s">
        <v>23</v>
      </c>
      <c r="L65" t="s">
        <v>21</v>
      </c>
      <c r="M65">
        <f>Table1[[#This Row],[Price]]*Table1[[#This Row],[Quantity]]</f>
        <v>2009.8999999999999</v>
      </c>
    </row>
    <row r="66" spans="2:13" x14ac:dyDescent="0.3">
      <c r="B66" s="3">
        <v>10520</v>
      </c>
      <c r="C66" s="4">
        <v>44886</v>
      </c>
      <c r="D66" t="s">
        <v>15</v>
      </c>
      <c r="E66" s="3">
        <v>12.99</v>
      </c>
      <c r="F66" s="19">
        <v>493</v>
      </c>
      <c r="G66" s="3">
        <v>4.32</v>
      </c>
      <c r="H66" t="e" vm="19">
        <v>#VALUE!</v>
      </c>
      <c r="I66" t="e" cm="1" vm="20">
        <f t="array" ref="I66">_FV(H66,"Country/region",TRUE)</f>
        <v>#VALUE!</v>
      </c>
      <c r="J66" t="s">
        <v>22</v>
      </c>
      <c r="K66" t="s">
        <v>23</v>
      </c>
      <c r="L66" t="s">
        <v>19</v>
      </c>
      <c r="M66">
        <f>Table1[[#This Row],[Price]]*Table1[[#This Row],[Quantity]]</f>
        <v>6404.07</v>
      </c>
    </row>
    <row r="67" spans="2:13" x14ac:dyDescent="0.3">
      <c r="B67" s="3">
        <v>10521</v>
      </c>
      <c r="C67" s="4">
        <v>44886</v>
      </c>
      <c r="D67" t="s">
        <v>18</v>
      </c>
      <c r="E67" s="3">
        <v>9.9499999999999993</v>
      </c>
      <c r="F67" s="19">
        <v>202</v>
      </c>
      <c r="G67" s="3">
        <v>2.85</v>
      </c>
      <c r="H67" t="e" vm="19">
        <v>#VALUE!</v>
      </c>
      <c r="I67" t="e" cm="1" vm="20">
        <f t="array" ref="I67">_FV(H67,"Country/region",TRUE)</f>
        <v>#VALUE!</v>
      </c>
      <c r="J67" t="s">
        <v>22</v>
      </c>
      <c r="K67" t="s">
        <v>23</v>
      </c>
      <c r="L67" t="s">
        <v>19</v>
      </c>
      <c r="M67">
        <f>Table1[[#This Row],[Price]]*Table1[[#This Row],[Quantity]]</f>
        <v>2009.8999999999999</v>
      </c>
    </row>
    <row r="68" spans="2:13" x14ac:dyDescent="0.3">
      <c r="B68" s="3">
        <v>10522</v>
      </c>
      <c r="C68" s="4">
        <v>44886</v>
      </c>
      <c r="D68" t="s">
        <v>9</v>
      </c>
      <c r="E68" s="3">
        <v>3.49</v>
      </c>
      <c r="F68" s="19">
        <v>688</v>
      </c>
      <c r="G68" s="3">
        <v>0.88</v>
      </c>
      <c r="H68" t="e" vm="19">
        <v>#VALUE!</v>
      </c>
      <c r="I68" t="e" cm="1" vm="20">
        <f t="array" ref="I68">_FV(H68,"Country/region",TRUE)</f>
        <v>#VALUE!</v>
      </c>
      <c r="J68" t="s">
        <v>22</v>
      </c>
      <c r="K68" t="s">
        <v>23</v>
      </c>
      <c r="L68" t="s">
        <v>19</v>
      </c>
      <c r="M68">
        <f>Table1[[#This Row],[Price]]*Table1[[#This Row],[Quantity]]</f>
        <v>2401.1200000000003</v>
      </c>
    </row>
    <row r="69" spans="2:13" x14ac:dyDescent="0.3">
      <c r="B69" s="3">
        <v>10523</v>
      </c>
      <c r="C69" s="4">
        <v>44886</v>
      </c>
      <c r="D69" t="s">
        <v>12</v>
      </c>
      <c r="E69" s="3">
        <v>2.95</v>
      </c>
      <c r="F69" s="19">
        <v>746</v>
      </c>
      <c r="G69" s="3">
        <v>0.47</v>
      </c>
      <c r="H69" t="e" vm="19">
        <v>#VALUE!</v>
      </c>
      <c r="I69" t="e" cm="1" vm="20">
        <f t="array" ref="I69">_FV(H69,"Country/region",TRUE)</f>
        <v>#VALUE!</v>
      </c>
      <c r="J69" t="s">
        <v>22</v>
      </c>
      <c r="K69" t="s">
        <v>23</v>
      </c>
      <c r="L69" t="s">
        <v>19</v>
      </c>
      <c r="M69">
        <f>Table1[[#This Row],[Price]]*Table1[[#This Row],[Quantity]]</f>
        <v>2200.7000000000003</v>
      </c>
    </row>
    <row r="70" spans="2:13" x14ac:dyDescent="0.3">
      <c r="B70" s="3">
        <v>10524</v>
      </c>
      <c r="C70" s="4">
        <v>44886</v>
      </c>
      <c r="D70" t="s">
        <v>13</v>
      </c>
      <c r="E70" s="3">
        <v>4.99</v>
      </c>
      <c r="F70" s="19">
        <v>201</v>
      </c>
      <c r="G70" s="3">
        <v>2.25</v>
      </c>
      <c r="H70" t="e" vm="19">
        <v>#VALUE!</v>
      </c>
      <c r="I70" t="e" cm="1" vm="20">
        <f t="array" ref="I70">_FV(H70,"Country/region",TRUE)</f>
        <v>#VALUE!</v>
      </c>
      <c r="J70" t="s">
        <v>22</v>
      </c>
      <c r="K70" t="s">
        <v>23</v>
      </c>
      <c r="L70" t="s">
        <v>19</v>
      </c>
      <c r="M70">
        <f>Table1[[#This Row],[Price]]*Table1[[#This Row],[Quantity]]</f>
        <v>1002.99</v>
      </c>
    </row>
    <row r="71" spans="2:13" x14ac:dyDescent="0.3">
      <c r="B71" s="3">
        <v>10525</v>
      </c>
      <c r="C71" s="4">
        <v>44887</v>
      </c>
      <c r="D71" t="s">
        <v>15</v>
      </c>
      <c r="E71" s="3">
        <v>12.99</v>
      </c>
      <c r="F71" s="19">
        <v>462</v>
      </c>
      <c r="G71" s="3">
        <v>4.32</v>
      </c>
      <c r="H71" t="e" vm="19">
        <v>#VALUE!</v>
      </c>
      <c r="I71" t="e" cm="1" vm="20">
        <f t="array" ref="I71">_FV(H71,"Country/region",TRUE)</f>
        <v>#VALUE!</v>
      </c>
      <c r="J71" t="s">
        <v>22</v>
      </c>
      <c r="K71" t="s">
        <v>23</v>
      </c>
      <c r="L71" t="s">
        <v>19</v>
      </c>
      <c r="M71">
        <f>Table1[[#This Row],[Price]]*Table1[[#This Row],[Quantity]]</f>
        <v>6001.38</v>
      </c>
    </row>
    <row r="72" spans="2:13" x14ac:dyDescent="0.3">
      <c r="B72" s="3">
        <v>10526</v>
      </c>
      <c r="C72" s="4">
        <v>44887</v>
      </c>
      <c r="D72" t="s">
        <v>18</v>
      </c>
      <c r="E72" s="3">
        <v>9.9499999999999993</v>
      </c>
      <c r="F72" s="19">
        <v>202</v>
      </c>
      <c r="G72" s="3">
        <v>2.85</v>
      </c>
      <c r="H72" t="e" vm="19">
        <v>#VALUE!</v>
      </c>
      <c r="I72" t="e" cm="1" vm="20">
        <f t="array" ref="I72">_FV(H72,"Country/region",TRUE)</f>
        <v>#VALUE!</v>
      </c>
      <c r="J72" t="s">
        <v>22</v>
      </c>
      <c r="K72" t="s">
        <v>23</v>
      </c>
      <c r="L72" t="s">
        <v>19</v>
      </c>
      <c r="M72">
        <f>Table1[[#This Row],[Price]]*Table1[[#This Row],[Quantity]]</f>
        <v>2009.8999999999999</v>
      </c>
    </row>
    <row r="73" spans="2:13" x14ac:dyDescent="0.3">
      <c r="B73" s="3">
        <v>10527</v>
      </c>
      <c r="C73" s="4">
        <v>44887</v>
      </c>
      <c r="D73" t="s">
        <v>9</v>
      </c>
      <c r="E73" s="3">
        <v>3.49</v>
      </c>
      <c r="F73" s="19">
        <v>688</v>
      </c>
      <c r="G73" s="3">
        <v>0.88</v>
      </c>
      <c r="H73" t="e" vm="19">
        <v>#VALUE!</v>
      </c>
      <c r="I73" t="e" cm="1" vm="20">
        <f t="array" ref="I73">_FV(H73,"Country/region",TRUE)</f>
        <v>#VALUE!</v>
      </c>
      <c r="J73" t="s">
        <v>22</v>
      </c>
      <c r="K73" t="s">
        <v>23</v>
      </c>
      <c r="L73" t="s">
        <v>19</v>
      </c>
      <c r="M73">
        <f>Table1[[#This Row],[Price]]*Table1[[#This Row],[Quantity]]</f>
        <v>2401.1200000000003</v>
      </c>
    </row>
    <row r="74" spans="2:13" x14ac:dyDescent="0.3">
      <c r="B74" s="3">
        <v>10528</v>
      </c>
      <c r="C74" s="4">
        <v>44887</v>
      </c>
      <c r="D74" t="s">
        <v>12</v>
      </c>
      <c r="E74" s="3">
        <v>2.95</v>
      </c>
      <c r="F74" s="19">
        <v>746</v>
      </c>
      <c r="G74" s="3">
        <v>0.47</v>
      </c>
      <c r="H74" t="e" vm="19">
        <v>#VALUE!</v>
      </c>
      <c r="I74" t="e" cm="1" vm="20">
        <f t="array" ref="I74">_FV(H74,"Country/region",TRUE)</f>
        <v>#VALUE!</v>
      </c>
      <c r="J74" t="s">
        <v>22</v>
      </c>
      <c r="K74" t="s">
        <v>23</v>
      </c>
      <c r="L74" t="s">
        <v>19</v>
      </c>
      <c r="M74">
        <f>Table1[[#This Row],[Price]]*Table1[[#This Row],[Quantity]]</f>
        <v>2200.7000000000003</v>
      </c>
    </row>
    <row r="75" spans="2:13" x14ac:dyDescent="0.3">
      <c r="B75" s="3">
        <v>10529</v>
      </c>
      <c r="C75" s="4">
        <v>44887</v>
      </c>
      <c r="D75" t="s">
        <v>13</v>
      </c>
      <c r="E75" s="3">
        <v>4.99</v>
      </c>
      <c r="F75" s="19">
        <v>201</v>
      </c>
      <c r="G75" s="3">
        <v>2.25</v>
      </c>
      <c r="H75" t="e" vm="19">
        <v>#VALUE!</v>
      </c>
      <c r="I75" t="e" cm="1" vm="20">
        <f t="array" ref="I75">_FV(H75,"Country/region",TRUE)</f>
        <v>#VALUE!</v>
      </c>
      <c r="J75" t="s">
        <v>22</v>
      </c>
      <c r="K75" t="s">
        <v>23</v>
      </c>
      <c r="L75" t="s">
        <v>19</v>
      </c>
      <c r="M75">
        <f>Table1[[#This Row],[Price]]*Table1[[#This Row],[Quantity]]</f>
        <v>1002.99</v>
      </c>
    </row>
    <row r="76" spans="2:13" x14ac:dyDescent="0.3">
      <c r="B76" s="3">
        <v>10530</v>
      </c>
      <c r="C76" s="4">
        <v>44888</v>
      </c>
      <c r="D76" t="s">
        <v>15</v>
      </c>
      <c r="E76" s="3">
        <v>12.99</v>
      </c>
      <c r="F76" s="19">
        <v>478</v>
      </c>
      <c r="G76" s="3">
        <v>4.32</v>
      </c>
      <c r="H76" t="e" vm="19">
        <v>#VALUE!</v>
      </c>
      <c r="I76" t="e" cm="1" vm="20">
        <f t="array" ref="I76">_FV(H76,"Country/region",TRUE)</f>
        <v>#VALUE!</v>
      </c>
      <c r="J76" t="s">
        <v>22</v>
      </c>
      <c r="K76" t="s">
        <v>23</v>
      </c>
      <c r="L76" t="s">
        <v>19</v>
      </c>
      <c r="M76">
        <f>Table1[[#This Row],[Price]]*Table1[[#This Row],[Quantity]]</f>
        <v>6209.22</v>
      </c>
    </row>
    <row r="77" spans="2:13" x14ac:dyDescent="0.3">
      <c r="B77" s="3">
        <v>10531</v>
      </c>
      <c r="C77" s="4">
        <v>44888</v>
      </c>
      <c r="D77" t="s">
        <v>18</v>
      </c>
      <c r="E77" s="3">
        <v>9.9499999999999993</v>
      </c>
      <c r="F77" s="19">
        <v>202</v>
      </c>
      <c r="G77" s="3">
        <v>2.85</v>
      </c>
      <c r="H77" t="e" vm="19">
        <v>#VALUE!</v>
      </c>
      <c r="I77" t="e" cm="1" vm="20">
        <f t="array" ref="I77">_FV(H77,"Country/region",TRUE)</f>
        <v>#VALUE!</v>
      </c>
      <c r="J77" t="s">
        <v>22</v>
      </c>
      <c r="K77" t="s">
        <v>23</v>
      </c>
      <c r="L77" t="s">
        <v>19</v>
      </c>
      <c r="M77">
        <f>Table1[[#This Row],[Price]]*Table1[[#This Row],[Quantity]]</f>
        <v>2009.8999999999999</v>
      </c>
    </row>
    <row r="78" spans="2:13" x14ac:dyDescent="0.3">
      <c r="B78" s="3">
        <v>10532</v>
      </c>
      <c r="C78" s="4">
        <v>44888</v>
      </c>
      <c r="D78" t="s">
        <v>9</v>
      </c>
      <c r="E78" s="3">
        <v>3.49</v>
      </c>
      <c r="F78" s="19">
        <v>688</v>
      </c>
      <c r="G78" s="3">
        <v>0.88</v>
      </c>
      <c r="H78" t="e" vm="15">
        <v>#VALUE!</v>
      </c>
      <c r="I78" t="e" cm="1" vm="16">
        <f t="array" ref="I78">_FV(H78,"Country/region",TRUE)</f>
        <v>#VALUE!</v>
      </c>
      <c r="J78" t="s">
        <v>22</v>
      </c>
      <c r="K78" t="s">
        <v>23</v>
      </c>
      <c r="L78" t="s">
        <v>21</v>
      </c>
      <c r="M78">
        <f>Table1[[#This Row],[Price]]*Table1[[#This Row],[Quantity]]</f>
        <v>2401.1200000000003</v>
      </c>
    </row>
    <row r="79" spans="2:13" x14ac:dyDescent="0.3">
      <c r="B79" s="3">
        <v>10533</v>
      </c>
      <c r="C79" s="4">
        <v>44888</v>
      </c>
      <c r="D79" t="s">
        <v>12</v>
      </c>
      <c r="E79" s="3">
        <v>2.95</v>
      </c>
      <c r="F79" s="19">
        <v>746</v>
      </c>
      <c r="G79" s="3">
        <v>0.47</v>
      </c>
      <c r="H79" t="e" vm="15">
        <v>#VALUE!</v>
      </c>
      <c r="I79" t="e" cm="1" vm="16">
        <f t="array" ref="I79">_FV(H79,"Country/region",TRUE)</f>
        <v>#VALUE!</v>
      </c>
      <c r="J79" t="s">
        <v>22</v>
      </c>
      <c r="K79" t="s">
        <v>23</v>
      </c>
      <c r="L79" t="s">
        <v>21</v>
      </c>
      <c r="M79">
        <f>Table1[[#This Row],[Price]]*Table1[[#This Row],[Quantity]]</f>
        <v>2200.7000000000003</v>
      </c>
    </row>
    <row r="80" spans="2:13" x14ac:dyDescent="0.3">
      <c r="B80" s="3">
        <v>10534</v>
      </c>
      <c r="C80" s="4">
        <v>44888</v>
      </c>
      <c r="D80" t="s">
        <v>13</v>
      </c>
      <c r="E80" s="3">
        <v>4.99</v>
      </c>
      <c r="F80" s="19">
        <v>201</v>
      </c>
      <c r="G80" s="3">
        <v>2.25</v>
      </c>
      <c r="H80" t="e" vm="13">
        <v>#VALUE!</v>
      </c>
      <c r="I80" t="e" cm="1" vm="14">
        <f t="array" ref="I80">_FV(H80,"Country/region",TRUE)</f>
        <v>#VALUE!</v>
      </c>
      <c r="J80" t="s">
        <v>22</v>
      </c>
      <c r="K80" t="s">
        <v>23</v>
      </c>
      <c r="L80" t="s">
        <v>20</v>
      </c>
      <c r="M80">
        <f>Table1[[#This Row],[Price]]*Table1[[#This Row],[Quantity]]</f>
        <v>1002.99</v>
      </c>
    </row>
    <row r="81" spans="2:13" x14ac:dyDescent="0.3">
      <c r="B81" s="3">
        <v>10535</v>
      </c>
      <c r="C81" s="4">
        <v>44889</v>
      </c>
      <c r="D81" t="s">
        <v>15</v>
      </c>
      <c r="E81" s="3">
        <v>12.99</v>
      </c>
      <c r="F81" s="19">
        <v>478</v>
      </c>
      <c r="G81" s="3">
        <v>4.32</v>
      </c>
      <c r="H81" t="e" vm="13">
        <v>#VALUE!</v>
      </c>
      <c r="I81" t="e" cm="1" vm="14">
        <f t="array" ref="I81">_FV(H81,"Country/region",TRUE)</f>
        <v>#VALUE!</v>
      </c>
      <c r="J81" t="s">
        <v>22</v>
      </c>
      <c r="K81" t="s">
        <v>16</v>
      </c>
      <c r="L81" t="s">
        <v>20</v>
      </c>
      <c r="M81">
        <f>Table1[[#This Row],[Price]]*Table1[[#This Row],[Quantity]]</f>
        <v>6209.22</v>
      </c>
    </row>
    <row r="82" spans="2:13" x14ac:dyDescent="0.3">
      <c r="B82" s="3">
        <v>10536</v>
      </c>
      <c r="C82" s="4">
        <v>44889</v>
      </c>
      <c r="D82" t="s">
        <v>18</v>
      </c>
      <c r="E82" s="3">
        <v>9.9499999999999993</v>
      </c>
      <c r="F82" s="19">
        <v>202</v>
      </c>
      <c r="G82" s="3">
        <v>2.85</v>
      </c>
      <c r="H82" t="e" vm="13">
        <v>#VALUE!</v>
      </c>
      <c r="I82" t="e" cm="1" vm="14">
        <f t="array" ref="I82">_FV(H82,"Country/region",TRUE)</f>
        <v>#VALUE!</v>
      </c>
      <c r="J82" t="s">
        <v>22</v>
      </c>
      <c r="K82" t="s">
        <v>16</v>
      </c>
      <c r="L82" t="s">
        <v>20</v>
      </c>
      <c r="M82">
        <f>Table1[[#This Row],[Price]]*Table1[[#This Row],[Quantity]]</f>
        <v>2009.8999999999999</v>
      </c>
    </row>
    <row r="83" spans="2:13" x14ac:dyDescent="0.3">
      <c r="B83" s="3">
        <v>10537</v>
      </c>
      <c r="C83" s="4">
        <v>44889</v>
      </c>
      <c r="D83" t="s">
        <v>9</v>
      </c>
      <c r="E83" s="3">
        <v>3.49</v>
      </c>
      <c r="F83" s="19">
        <v>631</v>
      </c>
      <c r="G83" s="3">
        <v>0.88</v>
      </c>
      <c r="H83" t="e" vm="13">
        <v>#VALUE!</v>
      </c>
      <c r="I83" t="e" cm="1" vm="14">
        <f t="array" ref="I83">_FV(H83,"Country/region",TRUE)</f>
        <v>#VALUE!</v>
      </c>
      <c r="J83" t="s">
        <v>22</v>
      </c>
      <c r="K83" t="s">
        <v>16</v>
      </c>
      <c r="L83" t="s">
        <v>20</v>
      </c>
      <c r="M83">
        <f>Table1[[#This Row],[Price]]*Table1[[#This Row],[Quantity]]</f>
        <v>2202.19</v>
      </c>
    </row>
    <row r="84" spans="2:13" x14ac:dyDescent="0.3">
      <c r="B84" s="3">
        <v>10538</v>
      </c>
      <c r="C84" s="4">
        <v>44889</v>
      </c>
      <c r="D84" t="s">
        <v>12</v>
      </c>
      <c r="E84" s="3">
        <v>2.95</v>
      </c>
      <c r="F84" s="19">
        <v>746</v>
      </c>
      <c r="G84" s="3">
        <v>0.47</v>
      </c>
      <c r="H84" t="e" vm="13">
        <v>#VALUE!</v>
      </c>
      <c r="I84" t="e" cm="1" vm="14">
        <f t="array" ref="I84">_FV(H84,"Country/region",TRUE)</f>
        <v>#VALUE!</v>
      </c>
      <c r="J84" t="s">
        <v>22</v>
      </c>
      <c r="K84" t="s">
        <v>16</v>
      </c>
      <c r="L84" t="s">
        <v>20</v>
      </c>
      <c r="M84">
        <f>Table1[[#This Row],[Price]]*Table1[[#This Row],[Quantity]]</f>
        <v>2200.7000000000003</v>
      </c>
    </row>
    <row r="85" spans="2:13" x14ac:dyDescent="0.3">
      <c r="B85" s="3">
        <v>10539</v>
      </c>
      <c r="C85" s="4">
        <v>44889</v>
      </c>
      <c r="D85" t="s">
        <v>13</v>
      </c>
      <c r="E85" s="3">
        <v>4.99</v>
      </c>
      <c r="F85" s="19">
        <v>201</v>
      </c>
      <c r="G85" s="3">
        <v>2.25</v>
      </c>
      <c r="H85" t="e" vm="13">
        <v>#VALUE!</v>
      </c>
      <c r="I85" t="e" cm="1" vm="14">
        <f t="array" ref="I85">_FV(H85,"Country/region",TRUE)</f>
        <v>#VALUE!</v>
      </c>
      <c r="J85" t="s">
        <v>22</v>
      </c>
      <c r="K85" t="s">
        <v>16</v>
      </c>
      <c r="L85" t="s">
        <v>20</v>
      </c>
      <c r="M85">
        <f>Table1[[#This Row],[Price]]*Table1[[#This Row],[Quantity]]</f>
        <v>1002.99</v>
      </c>
    </row>
    <row r="86" spans="2:13" x14ac:dyDescent="0.3">
      <c r="B86" s="3">
        <v>10540</v>
      </c>
      <c r="C86" s="4">
        <v>44890</v>
      </c>
      <c r="D86" t="s">
        <v>15</v>
      </c>
      <c r="E86" s="3">
        <v>12.99</v>
      </c>
      <c r="F86" s="19">
        <v>462</v>
      </c>
      <c r="G86" s="3">
        <v>4.32</v>
      </c>
      <c r="H86" t="e" vm="13">
        <v>#VALUE!</v>
      </c>
      <c r="I86" t="e" cm="1" vm="14">
        <f t="array" ref="I86">_FV(H86,"Country/region",TRUE)</f>
        <v>#VALUE!</v>
      </c>
      <c r="J86" t="s">
        <v>22</v>
      </c>
      <c r="K86" t="s">
        <v>16</v>
      </c>
      <c r="L86" t="s">
        <v>20</v>
      </c>
      <c r="M86">
        <f>Table1[[#This Row],[Price]]*Table1[[#This Row],[Quantity]]</f>
        <v>6001.38</v>
      </c>
    </row>
    <row r="87" spans="2:13" x14ac:dyDescent="0.3">
      <c r="B87" s="3">
        <v>10541</v>
      </c>
      <c r="C87" s="4">
        <v>44890</v>
      </c>
      <c r="D87" t="s">
        <v>18</v>
      </c>
      <c r="E87" s="3">
        <v>9.9499999999999993</v>
      </c>
      <c r="F87" s="19">
        <v>202</v>
      </c>
      <c r="G87" s="3">
        <v>2.85</v>
      </c>
      <c r="H87" t="e" vm="11">
        <v>#VALUE!</v>
      </c>
      <c r="I87" t="e" cm="1" vm="12">
        <f t="array" ref="I87">_FV(H87,"Country/region",TRUE)</f>
        <v>#VALUE!</v>
      </c>
      <c r="J87" t="s">
        <v>22</v>
      </c>
      <c r="K87" t="s">
        <v>16</v>
      </c>
      <c r="L87" t="s">
        <v>24</v>
      </c>
      <c r="M87">
        <f>Table1[[#This Row],[Price]]*Table1[[#This Row],[Quantity]]</f>
        <v>2009.8999999999999</v>
      </c>
    </row>
    <row r="88" spans="2:13" x14ac:dyDescent="0.3">
      <c r="B88" s="3">
        <v>10542</v>
      </c>
      <c r="C88" s="4">
        <v>44890</v>
      </c>
      <c r="D88" t="s">
        <v>9</v>
      </c>
      <c r="E88" s="3">
        <v>3.49</v>
      </c>
      <c r="F88" s="19">
        <v>631</v>
      </c>
      <c r="G88" s="3">
        <v>0.88</v>
      </c>
      <c r="H88" t="e" vm="11">
        <v>#VALUE!</v>
      </c>
      <c r="I88" t="e" cm="1" vm="12">
        <f t="array" ref="I88">_FV(H88,"Country/region",TRUE)</f>
        <v>#VALUE!</v>
      </c>
      <c r="J88" t="s">
        <v>22</v>
      </c>
      <c r="K88" t="s">
        <v>16</v>
      </c>
      <c r="L88" t="s">
        <v>24</v>
      </c>
      <c r="M88">
        <f>Table1[[#This Row],[Price]]*Table1[[#This Row],[Quantity]]</f>
        <v>2202.19</v>
      </c>
    </row>
    <row r="89" spans="2:13" x14ac:dyDescent="0.3">
      <c r="B89" s="3">
        <v>10543</v>
      </c>
      <c r="C89" s="4">
        <v>44890</v>
      </c>
      <c r="D89" t="s">
        <v>12</v>
      </c>
      <c r="E89" s="3">
        <v>2.95</v>
      </c>
      <c r="F89" s="19">
        <v>746</v>
      </c>
      <c r="G89" s="3">
        <v>0.47</v>
      </c>
      <c r="H89" t="e" vm="11">
        <v>#VALUE!</v>
      </c>
      <c r="I89" t="e" cm="1" vm="12">
        <f t="array" ref="I89">_FV(H89,"Country/region",TRUE)</f>
        <v>#VALUE!</v>
      </c>
      <c r="J89" t="s">
        <v>22</v>
      </c>
      <c r="K89" t="s">
        <v>16</v>
      </c>
      <c r="L89" t="s">
        <v>24</v>
      </c>
      <c r="M89">
        <f>Table1[[#This Row],[Price]]*Table1[[#This Row],[Quantity]]</f>
        <v>2200.7000000000003</v>
      </c>
    </row>
    <row r="90" spans="2:13" x14ac:dyDescent="0.3">
      <c r="B90" s="3">
        <v>10544</v>
      </c>
      <c r="C90" s="4">
        <v>44890</v>
      </c>
      <c r="D90" t="s">
        <v>13</v>
      </c>
      <c r="E90" s="3">
        <v>4.99</v>
      </c>
      <c r="F90" s="19">
        <v>201</v>
      </c>
      <c r="G90" s="3">
        <v>2.25</v>
      </c>
      <c r="H90" t="e" vm="11">
        <v>#VALUE!</v>
      </c>
      <c r="I90" t="e" cm="1" vm="12">
        <f t="array" ref="I90">_FV(H90,"Country/region",TRUE)</f>
        <v>#VALUE!</v>
      </c>
      <c r="J90" t="s">
        <v>22</v>
      </c>
      <c r="K90" t="s">
        <v>16</v>
      </c>
      <c r="L90" t="s">
        <v>24</v>
      </c>
      <c r="M90">
        <f>Table1[[#This Row],[Price]]*Table1[[#This Row],[Quantity]]</f>
        <v>1002.99</v>
      </c>
    </row>
    <row r="91" spans="2:13" x14ac:dyDescent="0.3">
      <c r="B91" s="3">
        <v>10545</v>
      </c>
      <c r="C91" s="4">
        <v>44891</v>
      </c>
      <c r="D91" t="s">
        <v>15</v>
      </c>
      <c r="E91" s="3">
        <v>12.99</v>
      </c>
      <c r="F91" s="19">
        <v>447</v>
      </c>
      <c r="G91" s="3">
        <v>4.32</v>
      </c>
      <c r="H91" t="e" vm="11">
        <v>#VALUE!</v>
      </c>
      <c r="I91" t="e" cm="1" vm="12">
        <f t="array" ref="I91">_FV(H91,"Country/region",TRUE)</f>
        <v>#VALUE!</v>
      </c>
      <c r="J91" t="s">
        <v>22</v>
      </c>
      <c r="K91" t="s">
        <v>16</v>
      </c>
      <c r="L91" t="s">
        <v>24</v>
      </c>
      <c r="M91">
        <f>Table1[[#This Row],[Price]]*Table1[[#This Row],[Quantity]]</f>
        <v>5806.53</v>
      </c>
    </row>
    <row r="92" spans="2:13" x14ac:dyDescent="0.3">
      <c r="B92" s="3">
        <v>10546</v>
      </c>
      <c r="C92" s="4">
        <v>44891</v>
      </c>
      <c r="D92" t="s">
        <v>18</v>
      </c>
      <c r="E92" s="3">
        <v>9.9499999999999993</v>
      </c>
      <c r="F92" s="19">
        <v>202</v>
      </c>
      <c r="G92" s="3">
        <v>2.85</v>
      </c>
      <c r="H92" t="e" vm="11">
        <v>#VALUE!</v>
      </c>
      <c r="I92" t="e" cm="1" vm="12">
        <f t="array" ref="I92">_FV(H92,"Country/region",TRUE)</f>
        <v>#VALUE!</v>
      </c>
      <c r="J92" t="s">
        <v>22</v>
      </c>
      <c r="K92" t="s">
        <v>16</v>
      </c>
      <c r="L92" t="s">
        <v>24</v>
      </c>
      <c r="M92">
        <f>Table1[[#This Row],[Price]]*Table1[[#This Row],[Quantity]]</f>
        <v>2009.8999999999999</v>
      </c>
    </row>
    <row r="93" spans="2:13" x14ac:dyDescent="0.3">
      <c r="B93" s="3">
        <v>10547</v>
      </c>
      <c r="C93" s="4">
        <v>44891</v>
      </c>
      <c r="D93" t="s">
        <v>9</v>
      </c>
      <c r="E93" s="3">
        <v>3.49</v>
      </c>
      <c r="F93" s="19">
        <v>631</v>
      </c>
      <c r="G93" s="3">
        <v>0.88</v>
      </c>
      <c r="H93" t="e" vm="11">
        <v>#VALUE!</v>
      </c>
      <c r="I93" t="e" cm="1" vm="12">
        <f t="array" ref="I93">_FV(H93,"Country/region",TRUE)</f>
        <v>#VALUE!</v>
      </c>
      <c r="J93" t="s">
        <v>22</v>
      </c>
      <c r="K93" t="s">
        <v>16</v>
      </c>
      <c r="L93" t="s">
        <v>24</v>
      </c>
      <c r="M93">
        <f>Table1[[#This Row],[Price]]*Table1[[#This Row],[Quantity]]</f>
        <v>2202.19</v>
      </c>
    </row>
    <row r="94" spans="2:13" x14ac:dyDescent="0.3">
      <c r="B94" s="3">
        <v>10548</v>
      </c>
      <c r="C94" s="4">
        <v>44891</v>
      </c>
      <c r="D94" t="s">
        <v>12</v>
      </c>
      <c r="E94" s="3">
        <v>2.95</v>
      </c>
      <c r="F94" s="19">
        <v>746</v>
      </c>
      <c r="G94" s="3">
        <v>0.47</v>
      </c>
      <c r="H94" t="e" vm="11">
        <v>#VALUE!</v>
      </c>
      <c r="I94" t="e" cm="1" vm="12">
        <f t="array" ref="I94">_FV(H94,"Country/region",TRUE)</f>
        <v>#VALUE!</v>
      </c>
      <c r="J94" t="s">
        <v>22</v>
      </c>
      <c r="K94" t="s">
        <v>16</v>
      </c>
      <c r="L94" t="s">
        <v>24</v>
      </c>
      <c r="M94">
        <f>Table1[[#This Row],[Price]]*Table1[[#This Row],[Quantity]]</f>
        <v>2200.7000000000003</v>
      </c>
    </row>
    <row r="95" spans="2:13" x14ac:dyDescent="0.3">
      <c r="B95" s="3">
        <v>10549</v>
      </c>
      <c r="C95" s="4">
        <v>44891</v>
      </c>
      <c r="D95" t="s">
        <v>13</v>
      </c>
      <c r="E95" s="3">
        <v>4.99</v>
      </c>
      <c r="F95" s="19">
        <v>201</v>
      </c>
      <c r="G95" s="3">
        <v>2.25</v>
      </c>
      <c r="H95" t="e" vm="11">
        <v>#VALUE!</v>
      </c>
      <c r="I95" t="e" cm="1" vm="12">
        <f t="array" ref="I95">_FV(H95,"Country/region",TRUE)</f>
        <v>#VALUE!</v>
      </c>
      <c r="J95" t="s">
        <v>22</v>
      </c>
      <c r="K95" t="s">
        <v>16</v>
      </c>
      <c r="L95" t="s">
        <v>24</v>
      </c>
      <c r="M95">
        <f>Table1[[#This Row],[Price]]*Table1[[#This Row],[Quantity]]</f>
        <v>1002.99</v>
      </c>
    </row>
    <row r="96" spans="2:13" x14ac:dyDescent="0.3">
      <c r="B96" s="3">
        <v>10550</v>
      </c>
      <c r="C96" s="4">
        <v>44892</v>
      </c>
      <c r="D96" t="s">
        <v>15</v>
      </c>
      <c r="E96" s="3">
        <v>12.99</v>
      </c>
      <c r="F96" s="19">
        <v>462</v>
      </c>
      <c r="G96" s="3">
        <v>4.32</v>
      </c>
      <c r="H96" t="e" vm="11">
        <v>#VALUE!</v>
      </c>
      <c r="I96" t="e" cm="1" vm="12">
        <f t="array" ref="I96">_FV(H96,"Country/region",TRUE)</f>
        <v>#VALUE!</v>
      </c>
      <c r="J96" t="s">
        <v>22</v>
      </c>
      <c r="K96" t="s">
        <v>16</v>
      </c>
      <c r="L96" t="s">
        <v>24</v>
      </c>
      <c r="M96">
        <f>Table1[[#This Row],[Price]]*Table1[[#This Row],[Quantity]]</f>
        <v>6001.38</v>
      </c>
    </row>
    <row r="97" spans="2:13" x14ac:dyDescent="0.3">
      <c r="B97" s="3">
        <v>10551</v>
      </c>
      <c r="C97" s="4">
        <v>44892</v>
      </c>
      <c r="D97" t="s">
        <v>18</v>
      </c>
      <c r="E97" s="3">
        <v>9.9499999999999993</v>
      </c>
      <c r="F97" s="19">
        <v>202</v>
      </c>
      <c r="G97" s="3">
        <v>2.85</v>
      </c>
      <c r="H97" t="e" vm="11">
        <v>#VALUE!</v>
      </c>
      <c r="I97" t="e" cm="1" vm="12">
        <f t="array" ref="I97">_FV(H97,"Country/region",TRUE)</f>
        <v>#VALUE!</v>
      </c>
      <c r="J97" t="s">
        <v>22</v>
      </c>
      <c r="K97" t="s">
        <v>16</v>
      </c>
      <c r="L97" t="s">
        <v>24</v>
      </c>
      <c r="M97">
        <f>Table1[[#This Row],[Price]]*Table1[[#This Row],[Quantity]]</f>
        <v>2009.8999999999999</v>
      </c>
    </row>
    <row r="98" spans="2:13" x14ac:dyDescent="0.3">
      <c r="B98" s="3">
        <v>10552</v>
      </c>
      <c r="C98" s="4">
        <v>44892</v>
      </c>
      <c r="D98" t="s">
        <v>9</v>
      </c>
      <c r="E98" s="3">
        <v>3.49</v>
      </c>
      <c r="F98" s="19">
        <v>631</v>
      </c>
      <c r="G98" s="3">
        <v>0.88</v>
      </c>
      <c r="H98" t="e" vm="11">
        <v>#VALUE!</v>
      </c>
      <c r="I98" t="e" cm="1" vm="12">
        <f t="array" ref="I98">_FV(H98,"Country/region",TRUE)</f>
        <v>#VALUE!</v>
      </c>
      <c r="J98" t="s">
        <v>10</v>
      </c>
      <c r="K98" t="s">
        <v>16</v>
      </c>
      <c r="L98" t="s">
        <v>24</v>
      </c>
      <c r="M98">
        <f>Table1[[#This Row],[Price]]*Table1[[#This Row],[Quantity]]</f>
        <v>2202.19</v>
      </c>
    </row>
    <row r="99" spans="2:13" x14ac:dyDescent="0.3">
      <c r="B99" s="3">
        <v>10553</v>
      </c>
      <c r="C99" s="4">
        <v>44892</v>
      </c>
      <c r="D99" t="s">
        <v>12</v>
      </c>
      <c r="E99" s="3">
        <v>2.95</v>
      </c>
      <c r="F99" s="19">
        <v>746</v>
      </c>
      <c r="G99" s="3">
        <v>0.47</v>
      </c>
      <c r="H99" t="e" vm="11">
        <v>#VALUE!</v>
      </c>
      <c r="I99" t="e" cm="1" vm="12">
        <f t="array" ref="I99">_FV(H99,"Country/region",TRUE)</f>
        <v>#VALUE!</v>
      </c>
      <c r="J99" t="s">
        <v>10</v>
      </c>
      <c r="K99" t="s">
        <v>16</v>
      </c>
      <c r="L99" t="s">
        <v>24</v>
      </c>
      <c r="M99">
        <f>Table1[[#This Row],[Price]]*Table1[[#This Row],[Quantity]]</f>
        <v>2200.7000000000003</v>
      </c>
    </row>
    <row r="100" spans="2:13" x14ac:dyDescent="0.3">
      <c r="B100" s="3">
        <v>10554</v>
      </c>
      <c r="C100" s="4">
        <v>44892</v>
      </c>
      <c r="D100" t="s">
        <v>13</v>
      </c>
      <c r="E100" s="3">
        <v>4.99</v>
      </c>
      <c r="F100" s="19">
        <v>201</v>
      </c>
      <c r="G100" s="3">
        <v>2.25</v>
      </c>
      <c r="H100" t="e" vm="11">
        <v>#VALUE!</v>
      </c>
      <c r="I100" t="e" cm="1" vm="12">
        <f t="array" ref="I100">_FV(H100,"Country/region",TRUE)</f>
        <v>#VALUE!</v>
      </c>
      <c r="J100" t="s">
        <v>10</v>
      </c>
      <c r="K100" t="s">
        <v>16</v>
      </c>
      <c r="L100" t="s">
        <v>24</v>
      </c>
      <c r="M100">
        <f>Table1[[#This Row],[Price]]*Table1[[#This Row],[Quantity]]</f>
        <v>1002.99</v>
      </c>
    </row>
    <row r="101" spans="2:13" x14ac:dyDescent="0.3">
      <c r="B101" s="3">
        <v>10555</v>
      </c>
      <c r="C101" s="4">
        <v>44893</v>
      </c>
      <c r="D101" t="s">
        <v>15</v>
      </c>
      <c r="E101" s="3">
        <v>12.99</v>
      </c>
      <c r="F101" s="19">
        <v>478</v>
      </c>
      <c r="G101" s="3">
        <v>4.32</v>
      </c>
      <c r="H101" t="e" vm="11">
        <v>#VALUE!</v>
      </c>
      <c r="I101" t="e" cm="1" vm="12">
        <f t="array" ref="I101">_FV(H101,"Country/region",TRUE)</f>
        <v>#VALUE!</v>
      </c>
      <c r="J101" t="s">
        <v>10</v>
      </c>
      <c r="K101" t="s">
        <v>16</v>
      </c>
      <c r="L101" t="s">
        <v>24</v>
      </c>
      <c r="M101">
        <f>Table1[[#This Row],[Price]]*Table1[[#This Row],[Quantity]]</f>
        <v>6209.22</v>
      </c>
    </row>
    <row r="102" spans="2:13" x14ac:dyDescent="0.3">
      <c r="B102" s="3">
        <v>10556</v>
      </c>
      <c r="C102" s="4">
        <v>44893</v>
      </c>
      <c r="D102" t="s">
        <v>18</v>
      </c>
      <c r="E102" s="3">
        <v>9.9499999999999993</v>
      </c>
      <c r="F102" s="19">
        <v>202</v>
      </c>
      <c r="G102" s="3">
        <v>2.85</v>
      </c>
      <c r="H102" t="e" vm="11">
        <v>#VALUE!</v>
      </c>
      <c r="I102" t="e" cm="1" vm="12">
        <f t="array" ref="I102">_FV(H102,"Country/region",TRUE)</f>
        <v>#VALUE!</v>
      </c>
      <c r="J102" t="s">
        <v>10</v>
      </c>
      <c r="K102" t="s">
        <v>16</v>
      </c>
      <c r="L102" t="s">
        <v>24</v>
      </c>
      <c r="M102">
        <f>Table1[[#This Row],[Price]]*Table1[[#This Row],[Quantity]]</f>
        <v>2009.8999999999999</v>
      </c>
    </row>
    <row r="103" spans="2:13" x14ac:dyDescent="0.3">
      <c r="B103" s="3">
        <v>10557</v>
      </c>
      <c r="C103" s="4">
        <v>44893</v>
      </c>
      <c r="D103" t="s">
        <v>9</v>
      </c>
      <c r="E103" s="3">
        <v>3.49</v>
      </c>
      <c r="F103" s="19">
        <v>631</v>
      </c>
      <c r="G103" s="3">
        <v>0.88</v>
      </c>
      <c r="H103" t="e" vm="11">
        <v>#VALUE!</v>
      </c>
      <c r="I103" t="e" cm="1" vm="12">
        <f t="array" ref="I103">_FV(H103,"Country/region",TRUE)</f>
        <v>#VALUE!</v>
      </c>
      <c r="J103" t="s">
        <v>10</v>
      </c>
      <c r="K103" t="s">
        <v>16</v>
      </c>
      <c r="L103" t="s">
        <v>24</v>
      </c>
      <c r="M103">
        <f>Table1[[#This Row],[Price]]*Table1[[#This Row],[Quantity]]</f>
        <v>2202.19</v>
      </c>
    </row>
    <row r="104" spans="2:13" x14ac:dyDescent="0.3">
      <c r="B104" s="3">
        <v>10558</v>
      </c>
      <c r="C104" s="4">
        <v>44893</v>
      </c>
      <c r="D104" t="s">
        <v>12</v>
      </c>
      <c r="E104" s="3">
        <v>2.95</v>
      </c>
      <c r="F104" s="19">
        <v>678</v>
      </c>
      <c r="G104" s="3">
        <v>0.47</v>
      </c>
      <c r="H104" t="e" vm="11">
        <v>#VALUE!</v>
      </c>
      <c r="I104" t="e" cm="1" vm="12">
        <f t="array" ref="I104">_FV(H104,"Country/region",TRUE)</f>
        <v>#VALUE!</v>
      </c>
      <c r="J104" t="s">
        <v>10</v>
      </c>
      <c r="K104" t="s">
        <v>16</v>
      </c>
      <c r="L104" t="s">
        <v>24</v>
      </c>
      <c r="M104">
        <f>Table1[[#This Row],[Price]]*Table1[[#This Row],[Quantity]]</f>
        <v>2000.1000000000001</v>
      </c>
    </row>
    <row r="105" spans="2:13" x14ac:dyDescent="0.3">
      <c r="B105" s="3">
        <v>10559</v>
      </c>
      <c r="C105" s="4">
        <v>44893</v>
      </c>
      <c r="D105" t="s">
        <v>13</v>
      </c>
      <c r="E105" s="3">
        <v>4.99</v>
      </c>
      <c r="F105" s="19">
        <v>201</v>
      </c>
      <c r="G105" s="3">
        <v>2.25</v>
      </c>
      <c r="H105" t="e" vm="11">
        <v>#VALUE!</v>
      </c>
      <c r="I105" t="e" cm="1" vm="12">
        <f t="array" ref="I105">_FV(H105,"Country/region",TRUE)</f>
        <v>#VALUE!</v>
      </c>
      <c r="J105" t="s">
        <v>10</v>
      </c>
      <c r="K105" t="s">
        <v>16</v>
      </c>
      <c r="L105" t="s">
        <v>24</v>
      </c>
      <c r="M105">
        <f>Table1[[#This Row],[Price]]*Table1[[#This Row],[Quantity]]</f>
        <v>1002.99</v>
      </c>
    </row>
    <row r="106" spans="2:13" x14ac:dyDescent="0.3">
      <c r="B106" s="3">
        <v>10560</v>
      </c>
      <c r="C106" s="4">
        <v>44894</v>
      </c>
      <c r="D106" t="s">
        <v>15</v>
      </c>
      <c r="E106" s="3">
        <v>12.99</v>
      </c>
      <c r="F106" s="19">
        <v>478</v>
      </c>
      <c r="G106" s="3">
        <v>4.32</v>
      </c>
      <c r="H106" t="e" vm="11">
        <v>#VALUE!</v>
      </c>
      <c r="I106" t="e" cm="1" vm="12">
        <f t="array" ref="I106">_FV(H106,"Country/region",TRUE)</f>
        <v>#VALUE!</v>
      </c>
      <c r="J106" t="s">
        <v>10</v>
      </c>
      <c r="K106" t="s">
        <v>16</v>
      </c>
      <c r="L106" t="s">
        <v>24</v>
      </c>
      <c r="M106">
        <f>Table1[[#This Row],[Price]]*Table1[[#This Row],[Quantity]]</f>
        <v>6209.22</v>
      </c>
    </row>
    <row r="107" spans="2:13" x14ac:dyDescent="0.3">
      <c r="B107" s="3">
        <v>10561</v>
      </c>
      <c r="C107" s="4">
        <v>44894</v>
      </c>
      <c r="D107" t="s">
        <v>18</v>
      </c>
      <c r="E107" s="3">
        <v>9.9499999999999993</v>
      </c>
      <c r="F107" s="19">
        <v>202</v>
      </c>
      <c r="G107" s="3">
        <v>2.85</v>
      </c>
      <c r="H107" t="e" vm="11">
        <v>#VALUE!</v>
      </c>
      <c r="I107" t="e" cm="1" vm="12">
        <f t="array" ref="I107">_FV(H107,"Country/region",TRUE)</f>
        <v>#VALUE!</v>
      </c>
      <c r="J107" t="s">
        <v>10</v>
      </c>
      <c r="K107" t="s">
        <v>16</v>
      </c>
      <c r="L107" t="s">
        <v>24</v>
      </c>
      <c r="M107">
        <f>Table1[[#This Row],[Price]]*Table1[[#This Row],[Quantity]]</f>
        <v>2009.8999999999999</v>
      </c>
    </row>
    <row r="108" spans="2:13" x14ac:dyDescent="0.3">
      <c r="B108" s="3">
        <v>10562</v>
      </c>
      <c r="C108" s="4">
        <v>44894</v>
      </c>
      <c r="D108" t="s">
        <v>9</v>
      </c>
      <c r="E108" s="3">
        <v>3.49</v>
      </c>
      <c r="F108" s="19">
        <v>631</v>
      </c>
      <c r="G108" s="3">
        <v>0.88</v>
      </c>
      <c r="H108" t="e" vm="11">
        <v>#VALUE!</v>
      </c>
      <c r="I108" t="e" cm="1" vm="12">
        <f t="array" ref="I108">_FV(H108,"Country/region",TRUE)</f>
        <v>#VALUE!</v>
      </c>
      <c r="J108" t="s">
        <v>10</v>
      </c>
      <c r="K108" t="s">
        <v>16</v>
      </c>
      <c r="L108" t="s">
        <v>24</v>
      </c>
      <c r="M108">
        <f>Table1[[#This Row],[Price]]*Table1[[#This Row],[Quantity]]</f>
        <v>2202.19</v>
      </c>
    </row>
    <row r="109" spans="2:13" x14ac:dyDescent="0.3">
      <c r="B109" s="3">
        <v>10563</v>
      </c>
      <c r="C109" s="4">
        <v>44894</v>
      </c>
      <c r="D109" t="s">
        <v>12</v>
      </c>
      <c r="E109" s="3">
        <v>2.95</v>
      </c>
      <c r="F109" s="19">
        <v>678</v>
      </c>
      <c r="G109" s="3">
        <v>0.47</v>
      </c>
      <c r="H109" t="e" vm="11">
        <v>#VALUE!</v>
      </c>
      <c r="I109" t="e" cm="1" vm="12">
        <f t="array" ref="I109">_FV(H109,"Country/region",TRUE)</f>
        <v>#VALUE!</v>
      </c>
      <c r="J109" t="s">
        <v>10</v>
      </c>
      <c r="K109" t="s">
        <v>16</v>
      </c>
      <c r="L109" t="s">
        <v>24</v>
      </c>
      <c r="M109">
        <f>Table1[[#This Row],[Price]]*Table1[[#This Row],[Quantity]]</f>
        <v>2000.1000000000001</v>
      </c>
    </row>
    <row r="110" spans="2:13" x14ac:dyDescent="0.3">
      <c r="B110" s="3">
        <v>10564</v>
      </c>
      <c r="C110" s="4">
        <v>44894</v>
      </c>
      <c r="D110" t="s">
        <v>13</v>
      </c>
      <c r="E110" s="3">
        <v>4.99</v>
      </c>
      <c r="F110" s="19">
        <v>201</v>
      </c>
      <c r="G110" s="3">
        <v>2.25</v>
      </c>
      <c r="H110" t="e" vm="11">
        <v>#VALUE!</v>
      </c>
      <c r="I110" t="e" cm="1" vm="12">
        <f t="array" ref="I110">_FV(H110,"Country/region",TRUE)</f>
        <v>#VALUE!</v>
      </c>
      <c r="J110" t="s">
        <v>10</v>
      </c>
      <c r="K110" t="s">
        <v>16</v>
      </c>
      <c r="L110" t="s">
        <v>24</v>
      </c>
      <c r="M110">
        <f>Table1[[#This Row],[Price]]*Table1[[#This Row],[Quantity]]</f>
        <v>1002.99</v>
      </c>
    </row>
    <row r="111" spans="2:13" x14ac:dyDescent="0.3">
      <c r="B111" s="3">
        <v>10565</v>
      </c>
      <c r="C111" s="4">
        <v>44895</v>
      </c>
      <c r="D111" t="s">
        <v>15</v>
      </c>
      <c r="E111" s="3">
        <v>12.99</v>
      </c>
      <c r="F111" s="19">
        <v>493</v>
      </c>
      <c r="G111" s="3">
        <v>4.32</v>
      </c>
      <c r="H111" t="e" vm="11">
        <v>#VALUE!</v>
      </c>
      <c r="I111" t="e" cm="1" vm="12">
        <f t="array" ref="I111">_FV(H111,"Country/region",TRUE)</f>
        <v>#VALUE!</v>
      </c>
      <c r="J111" t="s">
        <v>10</v>
      </c>
      <c r="K111" t="s">
        <v>16</v>
      </c>
      <c r="L111" t="s">
        <v>24</v>
      </c>
      <c r="M111">
        <f>Table1[[#This Row],[Price]]*Table1[[#This Row],[Quantity]]</f>
        <v>6404.07</v>
      </c>
    </row>
    <row r="112" spans="2:13" x14ac:dyDescent="0.3">
      <c r="B112" s="3">
        <v>10566</v>
      </c>
      <c r="C112" s="4">
        <v>44895</v>
      </c>
      <c r="D112" t="s">
        <v>18</v>
      </c>
      <c r="E112" s="3">
        <v>9.9499999999999993</v>
      </c>
      <c r="F112" s="19">
        <v>202</v>
      </c>
      <c r="G112" s="3">
        <v>2.85</v>
      </c>
      <c r="H112" t="e" vm="11">
        <v>#VALUE!</v>
      </c>
      <c r="I112" t="e" cm="1" vm="12">
        <f t="array" ref="I112">_FV(H112,"Country/region",TRUE)</f>
        <v>#VALUE!</v>
      </c>
      <c r="J112" t="s">
        <v>10</v>
      </c>
      <c r="K112" t="s">
        <v>16</v>
      </c>
      <c r="L112" t="s">
        <v>24</v>
      </c>
      <c r="M112">
        <f>Table1[[#This Row],[Price]]*Table1[[#This Row],[Quantity]]</f>
        <v>2009.8999999999999</v>
      </c>
    </row>
    <row r="113" spans="2:13" x14ac:dyDescent="0.3">
      <c r="B113" s="3">
        <v>10567</v>
      </c>
      <c r="C113" s="4">
        <v>44895</v>
      </c>
      <c r="D113" t="s">
        <v>9</v>
      </c>
      <c r="E113" s="3">
        <v>3.49</v>
      </c>
      <c r="F113" s="19">
        <v>631</v>
      </c>
      <c r="G113" s="3">
        <v>0.88</v>
      </c>
      <c r="H113" t="e" vm="11">
        <v>#VALUE!</v>
      </c>
      <c r="I113" t="e" cm="1" vm="12">
        <f t="array" ref="I113">_FV(H113,"Country/region",TRUE)</f>
        <v>#VALUE!</v>
      </c>
      <c r="J113" t="s">
        <v>10</v>
      </c>
      <c r="K113" t="s">
        <v>16</v>
      </c>
      <c r="L113" t="s">
        <v>24</v>
      </c>
      <c r="M113">
        <f>Table1[[#This Row],[Price]]*Table1[[#This Row],[Quantity]]</f>
        <v>2202.19</v>
      </c>
    </row>
    <row r="114" spans="2:13" x14ac:dyDescent="0.3">
      <c r="B114" s="3">
        <v>10568</v>
      </c>
      <c r="C114" s="4">
        <v>44895</v>
      </c>
      <c r="D114" t="s">
        <v>12</v>
      </c>
      <c r="E114" s="3">
        <v>2.95</v>
      </c>
      <c r="F114" s="19">
        <v>678</v>
      </c>
      <c r="G114" s="3">
        <v>0.47</v>
      </c>
      <c r="H114" t="e" vm="11">
        <v>#VALUE!</v>
      </c>
      <c r="I114" t="e" cm="1" vm="12">
        <f t="array" ref="I114">_FV(H114,"Country/region",TRUE)</f>
        <v>#VALUE!</v>
      </c>
      <c r="J114" t="s">
        <v>10</v>
      </c>
      <c r="K114" t="s">
        <v>16</v>
      </c>
      <c r="L114" t="s">
        <v>24</v>
      </c>
      <c r="M114">
        <f>Table1[[#This Row],[Price]]*Table1[[#This Row],[Quantity]]</f>
        <v>2000.1000000000001</v>
      </c>
    </row>
    <row r="115" spans="2:13" x14ac:dyDescent="0.3">
      <c r="B115" s="3">
        <v>10569</v>
      </c>
      <c r="C115" s="4">
        <v>44895</v>
      </c>
      <c r="D115" t="s">
        <v>13</v>
      </c>
      <c r="E115" s="3">
        <v>4.99</v>
      </c>
      <c r="F115" s="19">
        <v>201</v>
      </c>
      <c r="G115" s="3">
        <v>2.25</v>
      </c>
      <c r="H115" t="e" vm="11">
        <v>#VALUE!</v>
      </c>
      <c r="I115" t="e" cm="1" vm="12">
        <f t="array" ref="I115">_FV(H115,"Country/region",TRUE)</f>
        <v>#VALUE!</v>
      </c>
      <c r="J115" t="s">
        <v>10</v>
      </c>
      <c r="K115" t="s">
        <v>16</v>
      </c>
      <c r="L115" t="s">
        <v>24</v>
      </c>
      <c r="M115">
        <f>Table1[[#This Row],[Price]]*Table1[[#This Row],[Quantity]]</f>
        <v>1002.99</v>
      </c>
    </row>
    <row r="116" spans="2:13" x14ac:dyDescent="0.3">
      <c r="B116" s="3">
        <v>10570</v>
      </c>
      <c r="C116" s="4">
        <v>44896</v>
      </c>
      <c r="D116" t="s">
        <v>15</v>
      </c>
      <c r="E116" s="3">
        <v>12.99</v>
      </c>
      <c r="F116" s="19">
        <v>493</v>
      </c>
      <c r="G116" s="3">
        <v>4.32</v>
      </c>
      <c r="H116" t="e" vm="11">
        <v>#VALUE!</v>
      </c>
      <c r="I116" t="e" cm="1" vm="12">
        <f t="array" ref="I116">_FV(H116,"Country/region",TRUE)</f>
        <v>#VALUE!</v>
      </c>
      <c r="J116" t="s">
        <v>10</v>
      </c>
      <c r="K116" t="s">
        <v>16</v>
      </c>
      <c r="L116" t="s">
        <v>24</v>
      </c>
      <c r="M116">
        <f>Table1[[#This Row],[Price]]*Table1[[#This Row],[Quantity]]</f>
        <v>6404.07</v>
      </c>
    </row>
    <row r="117" spans="2:13" x14ac:dyDescent="0.3">
      <c r="B117" s="3">
        <v>10571</v>
      </c>
      <c r="C117" s="4">
        <v>44896</v>
      </c>
      <c r="D117" t="s">
        <v>18</v>
      </c>
      <c r="E117" s="3">
        <v>9.9499999999999993</v>
      </c>
      <c r="F117" s="19">
        <v>202</v>
      </c>
      <c r="G117" s="3">
        <v>2.85</v>
      </c>
      <c r="H117" t="e" vm="11">
        <v>#VALUE!</v>
      </c>
      <c r="I117" t="e" cm="1" vm="12">
        <f t="array" ref="I117">_FV(H117,"Country/region",TRUE)</f>
        <v>#VALUE!</v>
      </c>
      <c r="J117" t="s">
        <v>10</v>
      </c>
      <c r="K117" t="s">
        <v>16</v>
      </c>
      <c r="L117" t="s">
        <v>24</v>
      </c>
      <c r="M117">
        <f>Table1[[#This Row],[Price]]*Table1[[#This Row],[Quantity]]</f>
        <v>2009.8999999999999</v>
      </c>
    </row>
    <row r="118" spans="2:13" x14ac:dyDescent="0.3">
      <c r="B118" s="3">
        <v>10572</v>
      </c>
      <c r="C118" s="4">
        <v>44896</v>
      </c>
      <c r="D118" t="s">
        <v>9</v>
      </c>
      <c r="E118" s="3">
        <v>3.49</v>
      </c>
      <c r="F118" s="19">
        <v>574</v>
      </c>
      <c r="G118" s="3">
        <v>0.88</v>
      </c>
      <c r="H118" t="e" vm="19">
        <v>#VALUE!</v>
      </c>
      <c r="I118" t="e" cm="1" vm="20">
        <f t="array" ref="I118">_FV(H118,"Country/region",TRUE)</f>
        <v>#VALUE!</v>
      </c>
      <c r="J118" t="s">
        <v>10</v>
      </c>
      <c r="K118" t="s">
        <v>16</v>
      </c>
      <c r="L118" t="s">
        <v>19</v>
      </c>
      <c r="M118">
        <f>Table1[[#This Row],[Price]]*Table1[[#This Row],[Quantity]]</f>
        <v>2003.2600000000002</v>
      </c>
    </row>
    <row r="119" spans="2:13" x14ac:dyDescent="0.3">
      <c r="B119" s="3">
        <v>10573</v>
      </c>
      <c r="C119" s="4">
        <v>44896</v>
      </c>
      <c r="D119" t="s">
        <v>12</v>
      </c>
      <c r="E119" s="3">
        <v>2.95</v>
      </c>
      <c r="F119" s="19">
        <v>678</v>
      </c>
      <c r="G119" s="3">
        <v>0.47</v>
      </c>
      <c r="H119" t="e" vm="19">
        <v>#VALUE!</v>
      </c>
      <c r="I119" t="e" cm="1" vm="20">
        <f t="array" ref="I119">_FV(H119,"Country/region",TRUE)</f>
        <v>#VALUE!</v>
      </c>
      <c r="J119" t="s">
        <v>10</v>
      </c>
      <c r="K119" t="s">
        <v>16</v>
      </c>
      <c r="L119" t="s">
        <v>19</v>
      </c>
      <c r="M119">
        <f>Table1[[#This Row],[Price]]*Table1[[#This Row],[Quantity]]</f>
        <v>2000.1000000000001</v>
      </c>
    </row>
    <row r="120" spans="2:13" x14ac:dyDescent="0.3">
      <c r="B120" s="3">
        <v>10574</v>
      </c>
      <c r="C120" s="4">
        <v>44896</v>
      </c>
      <c r="D120" t="s">
        <v>13</v>
      </c>
      <c r="E120" s="3">
        <v>4.99</v>
      </c>
      <c r="F120" s="19">
        <v>201</v>
      </c>
      <c r="G120" s="3">
        <v>2.25</v>
      </c>
      <c r="H120" t="e" vm="19">
        <v>#VALUE!</v>
      </c>
      <c r="I120" t="e" cm="1" vm="20">
        <f t="array" ref="I120">_FV(H120,"Country/region",TRUE)</f>
        <v>#VALUE!</v>
      </c>
      <c r="J120" t="s">
        <v>10</v>
      </c>
      <c r="K120" t="s">
        <v>16</v>
      </c>
      <c r="L120" t="s">
        <v>19</v>
      </c>
      <c r="M120">
        <f>Table1[[#This Row],[Price]]*Table1[[#This Row],[Quantity]]</f>
        <v>1002.99</v>
      </c>
    </row>
    <row r="121" spans="2:13" x14ac:dyDescent="0.3">
      <c r="B121" s="3">
        <v>10575</v>
      </c>
      <c r="C121" s="4">
        <v>44897</v>
      </c>
      <c r="D121" t="s">
        <v>15</v>
      </c>
      <c r="E121" s="3">
        <v>12.99</v>
      </c>
      <c r="F121" s="19">
        <v>524</v>
      </c>
      <c r="G121" s="3">
        <v>4.32</v>
      </c>
      <c r="H121" t="e" vm="19">
        <v>#VALUE!</v>
      </c>
      <c r="I121" t="e" cm="1" vm="20">
        <f t="array" ref="I121">_FV(H121,"Country/region",TRUE)</f>
        <v>#VALUE!</v>
      </c>
      <c r="J121" t="s">
        <v>10</v>
      </c>
      <c r="K121" t="s">
        <v>16</v>
      </c>
      <c r="L121" t="s">
        <v>19</v>
      </c>
      <c r="M121">
        <f>Table1[[#This Row],[Price]]*Table1[[#This Row],[Quantity]]</f>
        <v>6806.76</v>
      </c>
    </row>
    <row r="122" spans="2:13" x14ac:dyDescent="0.3">
      <c r="B122" s="3">
        <v>10576</v>
      </c>
      <c r="C122" s="4">
        <v>44897</v>
      </c>
      <c r="D122" t="s">
        <v>18</v>
      </c>
      <c r="E122" s="3">
        <v>9.9499999999999993</v>
      </c>
      <c r="F122" s="19">
        <v>202</v>
      </c>
      <c r="G122" s="3">
        <v>2.85</v>
      </c>
      <c r="H122" t="e" vm="19">
        <v>#VALUE!</v>
      </c>
      <c r="I122" t="e" cm="1" vm="20">
        <f t="array" ref="I122">_FV(H122,"Country/region",TRUE)</f>
        <v>#VALUE!</v>
      </c>
      <c r="J122" t="s">
        <v>10</v>
      </c>
      <c r="K122" t="s">
        <v>16</v>
      </c>
      <c r="L122" t="s">
        <v>19</v>
      </c>
      <c r="M122">
        <f>Table1[[#This Row],[Price]]*Table1[[#This Row],[Quantity]]</f>
        <v>2009.8999999999999</v>
      </c>
    </row>
    <row r="123" spans="2:13" x14ac:dyDescent="0.3">
      <c r="B123" s="3">
        <v>10577</v>
      </c>
      <c r="C123" s="4">
        <v>44897</v>
      </c>
      <c r="D123" t="s">
        <v>9</v>
      </c>
      <c r="E123" s="3">
        <v>3.49</v>
      </c>
      <c r="F123" s="19">
        <v>631</v>
      </c>
      <c r="G123" s="3">
        <v>0.88</v>
      </c>
      <c r="H123" t="e" vm="19">
        <v>#VALUE!</v>
      </c>
      <c r="I123" t="e" cm="1" vm="20">
        <f t="array" ref="I123">_FV(H123,"Country/region",TRUE)</f>
        <v>#VALUE!</v>
      </c>
      <c r="J123" t="s">
        <v>10</v>
      </c>
      <c r="K123" t="s">
        <v>16</v>
      </c>
      <c r="L123" t="s">
        <v>19</v>
      </c>
      <c r="M123">
        <f>Table1[[#This Row],[Price]]*Table1[[#This Row],[Quantity]]</f>
        <v>2202.19</v>
      </c>
    </row>
    <row r="124" spans="2:13" x14ac:dyDescent="0.3">
      <c r="B124" s="3">
        <v>10578</v>
      </c>
      <c r="C124" s="4">
        <v>44897</v>
      </c>
      <c r="D124" t="s">
        <v>12</v>
      </c>
      <c r="E124" s="3">
        <v>2.95</v>
      </c>
      <c r="F124" s="19">
        <v>678</v>
      </c>
      <c r="G124" s="3">
        <v>0.47</v>
      </c>
      <c r="H124" t="e" vm="19">
        <v>#VALUE!</v>
      </c>
      <c r="I124" t="e" cm="1" vm="20">
        <f t="array" ref="I124">_FV(H124,"Country/region",TRUE)</f>
        <v>#VALUE!</v>
      </c>
      <c r="J124" t="s">
        <v>10</v>
      </c>
      <c r="K124" t="s">
        <v>16</v>
      </c>
      <c r="L124" t="s">
        <v>19</v>
      </c>
      <c r="M124">
        <f>Table1[[#This Row],[Price]]*Table1[[#This Row],[Quantity]]</f>
        <v>2000.1000000000001</v>
      </c>
    </row>
    <row r="125" spans="2:13" x14ac:dyDescent="0.3">
      <c r="B125" s="3">
        <v>10579</v>
      </c>
      <c r="C125" s="4">
        <v>44897</v>
      </c>
      <c r="D125" t="s">
        <v>13</v>
      </c>
      <c r="E125" s="3">
        <v>4.99</v>
      </c>
      <c r="F125" s="19">
        <v>201</v>
      </c>
      <c r="G125" s="3">
        <v>2.25</v>
      </c>
      <c r="H125" t="e" vm="19">
        <v>#VALUE!</v>
      </c>
      <c r="I125" t="e" cm="1" vm="20">
        <f t="array" ref="I125">_FV(H125,"Country/region",TRUE)</f>
        <v>#VALUE!</v>
      </c>
      <c r="J125" t="s">
        <v>10</v>
      </c>
      <c r="K125" t="s">
        <v>16</v>
      </c>
      <c r="L125" t="s">
        <v>19</v>
      </c>
      <c r="M125">
        <f>Table1[[#This Row],[Price]]*Table1[[#This Row],[Quantity]]</f>
        <v>1002.99</v>
      </c>
    </row>
    <row r="126" spans="2:13" x14ac:dyDescent="0.3">
      <c r="B126" s="3">
        <v>10580</v>
      </c>
      <c r="C126" s="4">
        <v>44898</v>
      </c>
      <c r="D126" t="s">
        <v>15</v>
      </c>
      <c r="E126" s="3">
        <v>12.99</v>
      </c>
      <c r="F126" s="19">
        <v>524</v>
      </c>
      <c r="G126" s="3">
        <v>4.32</v>
      </c>
      <c r="H126" t="e" vm="19">
        <v>#VALUE!</v>
      </c>
      <c r="I126" t="e" cm="1" vm="20">
        <f t="array" ref="I126">_FV(H126,"Country/region",TRUE)</f>
        <v>#VALUE!</v>
      </c>
      <c r="J126" t="s">
        <v>10</v>
      </c>
      <c r="K126" t="s">
        <v>16</v>
      </c>
      <c r="L126" t="s">
        <v>19</v>
      </c>
      <c r="M126">
        <f>Table1[[#This Row],[Price]]*Table1[[#This Row],[Quantity]]</f>
        <v>6806.76</v>
      </c>
    </row>
    <row r="127" spans="2:13" x14ac:dyDescent="0.3">
      <c r="B127" s="3">
        <v>10581</v>
      </c>
      <c r="C127" s="4">
        <v>44898</v>
      </c>
      <c r="D127" t="s">
        <v>18</v>
      </c>
      <c r="E127" s="3">
        <v>9.9499999999999993</v>
      </c>
      <c r="F127" s="19">
        <v>202</v>
      </c>
      <c r="G127" s="3">
        <v>2.85</v>
      </c>
      <c r="H127" t="e" vm="19">
        <v>#VALUE!</v>
      </c>
      <c r="I127" t="e" cm="1" vm="20">
        <f t="array" ref="I127">_FV(H127,"Country/region",TRUE)</f>
        <v>#VALUE!</v>
      </c>
      <c r="J127" t="s">
        <v>10</v>
      </c>
      <c r="K127" t="s">
        <v>16</v>
      </c>
      <c r="L127" t="s">
        <v>19</v>
      </c>
      <c r="M127">
        <f>Table1[[#This Row],[Price]]*Table1[[#This Row],[Quantity]]</f>
        <v>2009.8999999999999</v>
      </c>
    </row>
    <row r="128" spans="2:13" x14ac:dyDescent="0.3">
      <c r="B128" s="3">
        <v>10582</v>
      </c>
      <c r="C128" s="4">
        <v>44898</v>
      </c>
      <c r="D128" t="s">
        <v>9</v>
      </c>
      <c r="E128" s="3">
        <v>3.49</v>
      </c>
      <c r="F128" s="19">
        <v>631</v>
      </c>
      <c r="G128" s="3">
        <v>0.88</v>
      </c>
      <c r="H128" t="e" vm="11">
        <v>#VALUE!</v>
      </c>
      <c r="I128" t="e" cm="1" vm="12">
        <f t="array" ref="I128">_FV(H128,"Country/region",TRUE)</f>
        <v>#VALUE!</v>
      </c>
      <c r="J128" t="s">
        <v>10</v>
      </c>
      <c r="K128" t="s">
        <v>16</v>
      </c>
      <c r="L128" t="s">
        <v>24</v>
      </c>
      <c r="M128">
        <f>Table1[[#This Row],[Price]]*Table1[[#This Row],[Quantity]]</f>
        <v>2202.19</v>
      </c>
    </row>
    <row r="129" spans="2:13" x14ac:dyDescent="0.3">
      <c r="B129" s="3">
        <v>10583</v>
      </c>
      <c r="C129" s="4">
        <v>44898</v>
      </c>
      <c r="D129" t="s">
        <v>12</v>
      </c>
      <c r="E129" s="3">
        <v>2.95</v>
      </c>
      <c r="F129" s="19">
        <v>678</v>
      </c>
      <c r="G129" s="3">
        <v>0.47</v>
      </c>
      <c r="H129" t="e" vm="11">
        <v>#VALUE!</v>
      </c>
      <c r="I129" t="e" cm="1" vm="12">
        <f t="array" ref="I129">_FV(H129,"Country/region",TRUE)</f>
        <v>#VALUE!</v>
      </c>
      <c r="J129" t="s">
        <v>10</v>
      </c>
      <c r="K129" t="s">
        <v>16</v>
      </c>
      <c r="L129" t="s">
        <v>24</v>
      </c>
      <c r="M129">
        <f>Table1[[#This Row],[Price]]*Table1[[#This Row],[Quantity]]</f>
        <v>2000.1000000000001</v>
      </c>
    </row>
    <row r="130" spans="2:13" x14ac:dyDescent="0.3">
      <c r="B130" s="3">
        <v>10584</v>
      </c>
      <c r="C130" s="4">
        <v>44898</v>
      </c>
      <c r="D130" t="s">
        <v>13</v>
      </c>
      <c r="E130" s="3">
        <v>4.99</v>
      </c>
      <c r="F130" s="19">
        <v>201</v>
      </c>
      <c r="G130" s="3">
        <v>2.25</v>
      </c>
      <c r="H130" t="e" vm="11">
        <v>#VALUE!</v>
      </c>
      <c r="I130" t="e" cm="1" vm="12">
        <f t="array" ref="I130">_FV(H130,"Country/region",TRUE)</f>
        <v>#VALUE!</v>
      </c>
      <c r="J130" t="s">
        <v>10</v>
      </c>
      <c r="K130" t="s">
        <v>16</v>
      </c>
      <c r="L130" t="s">
        <v>24</v>
      </c>
      <c r="M130">
        <f>Table1[[#This Row],[Price]]*Table1[[#This Row],[Quantity]]</f>
        <v>1002.99</v>
      </c>
    </row>
    <row r="131" spans="2:13" x14ac:dyDescent="0.3">
      <c r="B131" s="3">
        <v>10585</v>
      </c>
      <c r="C131" s="4">
        <v>44899</v>
      </c>
      <c r="D131" t="s">
        <v>15</v>
      </c>
      <c r="E131" s="3">
        <v>12.99</v>
      </c>
      <c r="F131" s="19">
        <v>539</v>
      </c>
      <c r="G131" s="3">
        <v>4.32</v>
      </c>
      <c r="H131" t="e" vm="11">
        <v>#VALUE!</v>
      </c>
      <c r="I131" t="e" cm="1" vm="12">
        <f t="array" ref="I131">_FV(H131,"Country/region",TRUE)</f>
        <v>#VALUE!</v>
      </c>
      <c r="J131" t="s">
        <v>10</v>
      </c>
      <c r="K131" t="s">
        <v>16</v>
      </c>
      <c r="L131" t="s">
        <v>24</v>
      </c>
      <c r="M131">
        <f>Table1[[#This Row],[Price]]*Table1[[#This Row],[Quantity]]</f>
        <v>7001.61</v>
      </c>
    </row>
    <row r="132" spans="2:13" x14ac:dyDescent="0.3">
      <c r="B132" s="3">
        <v>10586</v>
      </c>
      <c r="C132" s="4">
        <v>44899</v>
      </c>
      <c r="D132" t="s">
        <v>18</v>
      </c>
      <c r="E132" s="3">
        <v>9.9499999999999993</v>
      </c>
      <c r="F132" s="19">
        <v>202</v>
      </c>
      <c r="G132" s="3">
        <v>2.85</v>
      </c>
      <c r="H132" t="e" vm="11">
        <v>#VALUE!</v>
      </c>
      <c r="I132" t="e" cm="1" vm="12">
        <f t="array" ref="I132">_FV(H132,"Country/region",TRUE)</f>
        <v>#VALUE!</v>
      </c>
      <c r="J132" t="s">
        <v>10</v>
      </c>
      <c r="K132" t="s">
        <v>16</v>
      </c>
      <c r="L132" t="s">
        <v>24</v>
      </c>
      <c r="M132">
        <f>Table1[[#This Row],[Price]]*Table1[[#This Row],[Quantity]]</f>
        <v>2009.8999999999999</v>
      </c>
    </row>
    <row r="133" spans="2:13" x14ac:dyDescent="0.3">
      <c r="B133" s="3">
        <v>10590</v>
      </c>
      <c r="C133" s="4">
        <v>44900</v>
      </c>
      <c r="D133" t="s">
        <v>15</v>
      </c>
      <c r="E133" s="3">
        <v>12.99</v>
      </c>
      <c r="F133" s="19">
        <v>555</v>
      </c>
      <c r="G133" s="3">
        <v>4.32</v>
      </c>
      <c r="H133" t="e" vm="11">
        <v>#VALUE!</v>
      </c>
      <c r="I133" t="e" cm="1" vm="12">
        <f t="array" ref="I133">_FV(H133,"Country/region",TRUE)</f>
        <v>#VALUE!</v>
      </c>
      <c r="J133" t="s">
        <v>10</v>
      </c>
      <c r="K133" t="s">
        <v>16</v>
      </c>
      <c r="L133" t="s">
        <v>24</v>
      </c>
      <c r="M133">
        <f>Table1[[#This Row],[Price]]*Table1[[#This Row],[Quantity]]</f>
        <v>7209.45</v>
      </c>
    </row>
    <row r="134" spans="2:13" x14ac:dyDescent="0.3">
      <c r="B134" s="3">
        <v>10591</v>
      </c>
      <c r="C134" s="4">
        <v>44900</v>
      </c>
      <c r="D134" t="s">
        <v>18</v>
      </c>
      <c r="E134" s="3">
        <v>9.9499999999999993</v>
      </c>
      <c r="F134" s="19">
        <v>202</v>
      </c>
      <c r="G134" s="3">
        <v>2.85</v>
      </c>
      <c r="H134" t="e" vm="11">
        <v>#VALUE!</v>
      </c>
      <c r="I134" t="e" cm="1" vm="12">
        <f t="array" ref="I134">_FV(H134,"Country/region",TRUE)</f>
        <v>#VALUE!</v>
      </c>
      <c r="J134" t="s">
        <v>10</v>
      </c>
      <c r="K134" t="s">
        <v>16</v>
      </c>
      <c r="L134" t="s">
        <v>24</v>
      </c>
      <c r="M134">
        <f>Table1[[#This Row],[Price]]*Table1[[#This Row],[Quantity]]</f>
        <v>2009.8999999999999</v>
      </c>
    </row>
    <row r="135" spans="2:13" x14ac:dyDescent="0.3">
      <c r="B135" s="3">
        <v>10592</v>
      </c>
      <c r="C135" s="4">
        <v>44900</v>
      </c>
      <c r="D135" t="s">
        <v>9</v>
      </c>
      <c r="E135" s="3">
        <v>3.49</v>
      </c>
      <c r="F135" s="19">
        <v>574</v>
      </c>
      <c r="G135" s="3">
        <v>0.88</v>
      </c>
      <c r="H135" t="e" vm="11">
        <v>#VALUE!</v>
      </c>
      <c r="I135" t="e" cm="1" vm="12">
        <f t="array" ref="I135">_FV(H135,"Country/region",TRUE)</f>
        <v>#VALUE!</v>
      </c>
      <c r="J135" t="s">
        <v>10</v>
      </c>
      <c r="K135" t="s">
        <v>16</v>
      </c>
      <c r="L135" t="s">
        <v>24</v>
      </c>
      <c r="M135">
        <f>Table1[[#This Row],[Price]]*Table1[[#This Row],[Quantity]]</f>
        <v>2003.2600000000002</v>
      </c>
    </row>
    <row r="136" spans="2:13" x14ac:dyDescent="0.3">
      <c r="B136" s="3">
        <v>10593</v>
      </c>
      <c r="C136" s="4">
        <v>44900</v>
      </c>
      <c r="D136" t="s">
        <v>12</v>
      </c>
      <c r="E136" s="3">
        <v>2.95</v>
      </c>
      <c r="F136" s="19">
        <v>678</v>
      </c>
      <c r="G136" s="3">
        <v>0.47</v>
      </c>
      <c r="H136" t="e" vm="11">
        <v>#VALUE!</v>
      </c>
      <c r="I136" t="e" cm="1" vm="12">
        <f t="array" ref="I136">_FV(H136,"Country/region",TRUE)</f>
        <v>#VALUE!</v>
      </c>
      <c r="J136" t="s">
        <v>10</v>
      </c>
      <c r="K136" t="s">
        <v>16</v>
      </c>
      <c r="L136" t="s">
        <v>24</v>
      </c>
      <c r="M136">
        <f>Table1[[#This Row],[Price]]*Table1[[#This Row],[Quantity]]</f>
        <v>2000.1000000000001</v>
      </c>
    </row>
    <row r="137" spans="2:13" x14ac:dyDescent="0.3">
      <c r="B137" s="3">
        <v>10594</v>
      </c>
      <c r="C137" s="4">
        <v>44900</v>
      </c>
      <c r="D137" t="s">
        <v>13</v>
      </c>
      <c r="E137" s="3">
        <v>4.99</v>
      </c>
      <c r="F137" s="19">
        <v>201</v>
      </c>
      <c r="G137" s="3">
        <v>2.25</v>
      </c>
      <c r="H137" t="e" vm="11">
        <v>#VALUE!</v>
      </c>
      <c r="I137" t="e" cm="1" vm="12">
        <f t="array" ref="I137">_FV(H137,"Country/region",TRUE)</f>
        <v>#VALUE!</v>
      </c>
      <c r="J137" t="s">
        <v>10</v>
      </c>
      <c r="K137" t="s">
        <v>16</v>
      </c>
      <c r="L137" t="s">
        <v>24</v>
      </c>
      <c r="M137">
        <f>Table1[[#This Row],[Price]]*Table1[[#This Row],[Quantity]]</f>
        <v>1002.99</v>
      </c>
    </row>
    <row r="138" spans="2:13" x14ac:dyDescent="0.3">
      <c r="B138" s="3">
        <v>10595</v>
      </c>
      <c r="C138" s="4">
        <v>44901</v>
      </c>
      <c r="D138" t="s">
        <v>15</v>
      </c>
      <c r="E138" s="3">
        <v>12.99</v>
      </c>
      <c r="F138" s="19">
        <v>539</v>
      </c>
      <c r="G138" s="3">
        <v>4.32</v>
      </c>
      <c r="H138" t="e" vm="11">
        <v>#VALUE!</v>
      </c>
      <c r="I138" t="e" cm="1" vm="12">
        <f t="array" ref="I138">_FV(H138,"Country/region",TRUE)</f>
        <v>#VALUE!</v>
      </c>
      <c r="J138" t="s">
        <v>10</v>
      </c>
      <c r="K138" t="s">
        <v>16</v>
      </c>
      <c r="L138" t="s">
        <v>24</v>
      </c>
      <c r="M138">
        <f>Table1[[#This Row],[Price]]*Table1[[#This Row],[Quantity]]</f>
        <v>7001.61</v>
      </c>
    </row>
    <row r="139" spans="2:13" x14ac:dyDescent="0.3">
      <c r="B139" s="3">
        <v>10596</v>
      </c>
      <c r="C139" s="4">
        <v>44901</v>
      </c>
      <c r="D139" t="s">
        <v>18</v>
      </c>
      <c r="E139" s="3">
        <v>9.9499999999999993</v>
      </c>
      <c r="F139" s="19">
        <v>202</v>
      </c>
      <c r="G139" s="3">
        <v>2.85</v>
      </c>
      <c r="H139" t="e" vm="11">
        <v>#VALUE!</v>
      </c>
      <c r="I139" t="e" cm="1" vm="12">
        <f t="array" ref="I139">_FV(H139,"Country/region",TRUE)</f>
        <v>#VALUE!</v>
      </c>
      <c r="J139" t="s">
        <v>10</v>
      </c>
      <c r="K139" t="s">
        <v>16</v>
      </c>
      <c r="L139" t="s">
        <v>24</v>
      </c>
      <c r="M139">
        <f>Table1[[#This Row],[Price]]*Table1[[#This Row],[Quantity]]</f>
        <v>2009.8999999999999</v>
      </c>
    </row>
    <row r="140" spans="2:13" x14ac:dyDescent="0.3">
      <c r="B140" s="3">
        <v>10597</v>
      </c>
      <c r="C140" s="4">
        <v>44901</v>
      </c>
      <c r="D140" t="s">
        <v>9</v>
      </c>
      <c r="E140" s="3">
        <v>3.49</v>
      </c>
      <c r="F140" s="19">
        <v>574</v>
      </c>
      <c r="G140" s="3">
        <v>0.88</v>
      </c>
      <c r="H140" t="e" vm="11">
        <v>#VALUE!</v>
      </c>
      <c r="I140" t="e" cm="1" vm="12">
        <f t="array" ref="I140">_FV(H140,"Country/region",TRUE)</f>
        <v>#VALUE!</v>
      </c>
      <c r="J140" t="s">
        <v>10</v>
      </c>
      <c r="K140" t="s">
        <v>16</v>
      </c>
      <c r="L140" t="s">
        <v>24</v>
      </c>
      <c r="M140">
        <f>Table1[[#This Row],[Price]]*Table1[[#This Row],[Quantity]]</f>
        <v>2003.2600000000002</v>
      </c>
    </row>
    <row r="141" spans="2:13" x14ac:dyDescent="0.3">
      <c r="B141" s="3">
        <v>10598</v>
      </c>
      <c r="C141" s="4">
        <v>44901</v>
      </c>
      <c r="D141" t="s">
        <v>12</v>
      </c>
      <c r="E141" s="3">
        <v>2.95</v>
      </c>
      <c r="F141" s="19">
        <v>678</v>
      </c>
      <c r="G141" s="3">
        <v>0.47</v>
      </c>
      <c r="H141" t="e" vm="11">
        <v>#VALUE!</v>
      </c>
      <c r="I141" t="e" cm="1" vm="12">
        <f t="array" ref="I141">_FV(H141,"Country/region",TRUE)</f>
        <v>#VALUE!</v>
      </c>
      <c r="J141" t="s">
        <v>10</v>
      </c>
      <c r="K141" t="s">
        <v>16</v>
      </c>
      <c r="L141" t="s">
        <v>24</v>
      </c>
      <c r="M141">
        <f>Table1[[#This Row],[Price]]*Table1[[#This Row],[Quantity]]</f>
        <v>2000.1000000000001</v>
      </c>
    </row>
    <row r="142" spans="2:13" x14ac:dyDescent="0.3">
      <c r="B142" s="3">
        <v>10599</v>
      </c>
      <c r="C142" s="4">
        <v>44901</v>
      </c>
      <c r="D142" t="s">
        <v>13</v>
      </c>
      <c r="E142" s="3">
        <v>4.99</v>
      </c>
      <c r="F142" s="19">
        <v>201</v>
      </c>
      <c r="G142" s="3">
        <v>2.25</v>
      </c>
      <c r="H142" t="e" vm="11">
        <v>#VALUE!</v>
      </c>
      <c r="I142" t="e" cm="1" vm="12">
        <f t="array" ref="I142">_FV(H142,"Country/region",TRUE)</f>
        <v>#VALUE!</v>
      </c>
      <c r="J142" t="s">
        <v>10</v>
      </c>
      <c r="K142" t="s">
        <v>16</v>
      </c>
      <c r="L142" t="s">
        <v>24</v>
      </c>
      <c r="M142">
        <f>Table1[[#This Row],[Price]]*Table1[[#This Row],[Quantity]]</f>
        <v>1002.99</v>
      </c>
    </row>
    <row r="143" spans="2:13" x14ac:dyDescent="0.3">
      <c r="B143" s="3">
        <v>10600</v>
      </c>
      <c r="C143" s="4">
        <v>44902</v>
      </c>
      <c r="D143" t="s">
        <v>15</v>
      </c>
      <c r="E143" s="3">
        <v>12.99</v>
      </c>
      <c r="F143" s="19">
        <v>524</v>
      </c>
      <c r="G143" s="3">
        <v>4.32</v>
      </c>
      <c r="H143" t="e" vm="11">
        <v>#VALUE!</v>
      </c>
      <c r="I143" t="e" cm="1" vm="12">
        <f t="array" ref="I143">_FV(H143,"Country/region",TRUE)</f>
        <v>#VALUE!</v>
      </c>
      <c r="J143" t="s">
        <v>10</v>
      </c>
      <c r="K143" t="s">
        <v>16</v>
      </c>
      <c r="L143" t="s">
        <v>24</v>
      </c>
      <c r="M143">
        <f>Table1[[#This Row],[Price]]*Table1[[#This Row],[Quantity]]</f>
        <v>6806.76</v>
      </c>
    </row>
    <row r="144" spans="2:13" x14ac:dyDescent="0.3">
      <c r="B144" s="3">
        <v>10601</v>
      </c>
      <c r="C144" s="4">
        <v>44902</v>
      </c>
      <c r="D144" t="s">
        <v>18</v>
      </c>
      <c r="E144" s="3">
        <v>9.9499999999999993</v>
      </c>
      <c r="F144" s="19">
        <v>202</v>
      </c>
      <c r="G144" s="3">
        <v>2.85</v>
      </c>
      <c r="H144" t="e" vm="11">
        <v>#VALUE!</v>
      </c>
      <c r="I144" t="e" cm="1" vm="12">
        <f t="array" ref="I144">_FV(H144,"Country/region",TRUE)</f>
        <v>#VALUE!</v>
      </c>
      <c r="J144" t="s">
        <v>10</v>
      </c>
      <c r="K144" t="s">
        <v>16</v>
      </c>
      <c r="L144" t="s">
        <v>24</v>
      </c>
      <c r="M144">
        <f>Table1[[#This Row],[Price]]*Table1[[#This Row],[Quantity]]</f>
        <v>2009.8999999999999</v>
      </c>
    </row>
    <row r="145" spans="2:13" x14ac:dyDescent="0.3">
      <c r="B145" s="3">
        <v>10602</v>
      </c>
      <c r="C145" s="4">
        <v>44902</v>
      </c>
      <c r="D145" t="s">
        <v>9</v>
      </c>
      <c r="E145" s="3">
        <v>3.49</v>
      </c>
      <c r="F145" s="19">
        <v>631</v>
      </c>
      <c r="G145" s="3">
        <v>0.88</v>
      </c>
      <c r="H145" t="e" vm="11">
        <v>#VALUE!</v>
      </c>
      <c r="I145" t="e" cm="1" vm="12">
        <f t="array" ref="I145">_FV(H145,"Country/region",TRUE)</f>
        <v>#VALUE!</v>
      </c>
      <c r="J145" t="s">
        <v>10</v>
      </c>
      <c r="K145" t="s">
        <v>23</v>
      </c>
      <c r="L145" t="s">
        <v>24</v>
      </c>
      <c r="M145">
        <f>Table1[[#This Row],[Price]]*Table1[[#This Row],[Quantity]]</f>
        <v>2202.19</v>
      </c>
    </row>
    <row r="146" spans="2:13" x14ac:dyDescent="0.3">
      <c r="B146" s="3">
        <v>10603</v>
      </c>
      <c r="C146" s="4">
        <v>44902</v>
      </c>
      <c r="D146" t="s">
        <v>12</v>
      </c>
      <c r="E146" s="3">
        <v>2.95</v>
      </c>
      <c r="F146" s="19">
        <v>678</v>
      </c>
      <c r="G146" s="3">
        <v>0.47</v>
      </c>
      <c r="H146" t="e" vm="11">
        <v>#VALUE!</v>
      </c>
      <c r="I146" t="e" cm="1" vm="12">
        <f t="array" ref="I146">_FV(H146,"Country/region",TRUE)</f>
        <v>#VALUE!</v>
      </c>
      <c r="J146" t="s">
        <v>10</v>
      </c>
      <c r="K146" t="s">
        <v>23</v>
      </c>
      <c r="L146" t="s">
        <v>24</v>
      </c>
      <c r="M146">
        <f>Table1[[#This Row],[Price]]*Table1[[#This Row],[Quantity]]</f>
        <v>2000.1000000000001</v>
      </c>
    </row>
    <row r="147" spans="2:13" x14ac:dyDescent="0.3">
      <c r="B147" s="3">
        <v>10604</v>
      </c>
      <c r="C147" s="4">
        <v>44902</v>
      </c>
      <c r="D147" t="s">
        <v>13</v>
      </c>
      <c r="E147" s="3">
        <v>4.99</v>
      </c>
      <c r="F147" s="19">
        <v>201</v>
      </c>
      <c r="G147" s="3">
        <v>2.25</v>
      </c>
      <c r="H147" t="e" vm="11">
        <v>#VALUE!</v>
      </c>
      <c r="I147" t="e" cm="1" vm="12">
        <f t="array" ref="I147">_FV(H147,"Country/region",TRUE)</f>
        <v>#VALUE!</v>
      </c>
      <c r="J147" t="s">
        <v>10</v>
      </c>
      <c r="K147" t="s">
        <v>23</v>
      </c>
      <c r="L147" t="s">
        <v>24</v>
      </c>
      <c r="M147">
        <f>Table1[[#This Row],[Price]]*Table1[[#This Row],[Quantity]]</f>
        <v>1002.99</v>
      </c>
    </row>
    <row r="148" spans="2:13" x14ac:dyDescent="0.3">
      <c r="B148" s="3">
        <v>10605</v>
      </c>
      <c r="C148" s="4">
        <v>44903</v>
      </c>
      <c r="D148" t="s">
        <v>15</v>
      </c>
      <c r="E148" s="3">
        <v>12.99</v>
      </c>
      <c r="F148" s="19">
        <v>539</v>
      </c>
      <c r="G148" s="3">
        <v>4.32</v>
      </c>
      <c r="H148" t="e" vm="11">
        <v>#VALUE!</v>
      </c>
      <c r="I148" t="e" cm="1" vm="12">
        <f t="array" ref="I148">_FV(H148,"Country/region",TRUE)</f>
        <v>#VALUE!</v>
      </c>
      <c r="J148" t="s">
        <v>10</v>
      </c>
      <c r="K148" t="s">
        <v>23</v>
      </c>
      <c r="L148" t="s">
        <v>24</v>
      </c>
      <c r="M148">
        <f>Table1[[#This Row],[Price]]*Table1[[#This Row],[Quantity]]</f>
        <v>7001.61</v>
      </c>
    </row>
    <row r="149" spans="2:13" x14ac:dyDescent="0.3">
      <c r="B149" s="3">
        <v>10606</v>
      </c>
      <c r="C149" s="4">
        <v>44903</v>
      </c>
      <c r="D149" t="s">
        <v>18</v>
      </c>
      <c r="E149" s="3">
        <v>9.9499999999999993</v>
      </c>
      <c r="F149" s="19">
        <v>202</v>
      </c>
      <c r="G149" s="3">
        <v>2.85</v>
      </c>
      <c r="H149" t="e" vm="11">
        <v>#VALUE!</v>
      </c>
      <c r="I149" t="e" cm="1" vm="12">
        <f t="array" ref="I149">_FV(H149,"Country/region",TRUE)</f>
        <v>#VALUE!</v>
      </c>
      <c r="J149" t="s">
        <v>10</v>
      </c>
      <c r="K149" t="s">
        <v>23</v>
      </c>
      <c r="L149" t="s">
        <v>24</v>
      </c>
      <c r="M149">
        <f>Table1[[#This Row],[Price]]*Table1[[#This Row],[Quantity]]</f>
        <v>2009.8999999999999</v>
      </c>
    </row>
    <row r="150" spans="2:13" x14ac:dyDescent="0.3">
      <c r="B150" s="3">
        <v>10607</v>
      </c>
      <c r="C150" s="4">
        <v>44903</v>
      </c>
      <c r="D150" t="s">
        <v>9</v>
      </c>
      <c r="E150" s="3">
        <v>3.49</v>
      </c>
      <c r="F150" s="19">
        <v>631</v>
      </c>
      <c r="G150" s="3">
        <v>0.88</v>
      </c>
      <c r="H150" t="e" vm="11">
        <v>#VALUE!</v>
      </c>
      <c r="I150" t="e" cm="1" vm="12">
        <f t="array" ref="I150">_FV(H150,"Country/region",TRUE)</f>
        <v>#VALUE!</v>
      </c>
      <c r="J150" t="s">
        <v>10</v>
      </c>
      <c r="K150" t="s">
        <v>23</v>
      </c>
      <c r="L150" t="s">
        <v>24</v>
      </c>
      <c r="M150">
        <f>Table1[[#This Row],[Price]]*Table1[[#This Row],[Quantity]]</f>
        <v>2202.19</v>
      </c>
    </row>
    <row r="151" spans="2:13" x14ac:dyDescent="0.3">
      <c r="B151" s="3">
        <v>10608</v>
      </c>
      <c r="C151" s="4">
        <v>44903</v>
      </c>
      <c r="D151" t="s">
        <v>12</v>
      </c>
      <c r="E151" s="3">
        <v>2.95</v>
      </c>
      <c r="F151" s="19">
        <v>678</v>
      </c>
      <c r="G151" s="3">
        <v>0.47</v>
      </c>
      <c r="H151" t="e" vm="11">
        <v>#VALUE!</v>
      </c>
      <c r="I151" t="e" cm="1" vm="12">
        <f t="array" ref="I151">_FV(H151,"Country/region",TRUE)</f>
        <v>#VALUE!</v>
      </c>
      <c r="J151" t="s">
        <v>10</v>
      </c>
      <c r="K151" t="s">
        <v>11</v>
      </c>
      <c r="L151" t="s">
        <v>24</v>
      </c>
      <c r="M151">
        <f>Table1[[#This Row],[Price]]*Table1[[#This Row],[Quantity]]</f>
        <v>2000.1000000000001</v>
      </c>
    </row>
    <row r="152" spans="2:13" x14ac:dyDescent="0.3">
      <c r="B152" s="3">
        <v>10609</v>
      </c>
      <c r="C152" s="4">
        <v>44903</v>
      </c>
      <c r="D152" t="s">
        <v>13</v>
      </c>
      <c r="E152" s="3">
        <v>4.99</v>
      </c>
      <c r="F152" s="19">
        <v>201</v>
      </c>
      <c r="G152" s="3">
        <v>2.25</v>
      </c>
      <c r="H152" t="e" vm="11">
        <v>#VALUE!</v>
      </c>
      <c r="I152" t="e" cm="1" vm="12">
        <f t="array" ref="I152">_FV(H152,"Country/region",TRUE)</f>
        <v>#VALUE!</v>
      </c>
      <c r="J152" t="s">
        <v>10</v>
      </c>
      <c r="K152" t="s">
        <v>11</v>
      </c>
      <c r="L152" t="s">
        <v>24</v>
      </c>
      <c r="M152">
        <f>Table1[[#This Row],[Price]]*Table1[[#This Row],[Quantity]]</f>
        <v>1002.99</v>
      </c>
    </row>
    <row r="153" spans="2:13" x14ac:dyDescent="0.3">
      <c r="B153" s="3">
        <v>10610</v>
      </c>
      <c r="C153" s="4">
        <v>44904</v>
      </c>
      <c r="D153" t="s">
        <v>15</v>
      </c>
      <c r="E153" s="3">
        <v>12.99</v>
      </c>
      <c r="F153" s="19">
        <v>570</v>
      </c>
      <c r="G153" s="3">
        <v>4.32</v>
      </c>
      <c r="H153" t="e" vm="11">
        <v>#VALUE!</v>
      </c>
      <c r="I153" t="e" cm="1" vm="12">
        <f t="array" ref="I153">_FV(H153,"Country/region",TRUE)</f>
        <v>#VALUE!</v>
      </c>
      <c r="J153" t="s">
        <v>10</v>
      </c>
      <c r="K153" t="s">
        <v>11</v>
      </c>
      <c r="L153" t="s">
        <v>24</v>
      </c>
      <c r="M153">
        <f>Table1[[#This Row],[Price]]*Table1[[#This Row],[Quantity]]</f>
        <v>7404.3</v>
      </c>
    </row>
    <row r="154" spans="2:13" x14ac:dyDescent="0.3">
      <c r="B154" s="3">
        <v>10611</v>
      </c>
      <c r="C154" s="4">
        <v>44904</v>
      </c>
      <c r="D154" t="s">
        <v>18</v>
      </c>
      <c r="E154" s="3">
        <v>9.9499999999999993</v>
      </c>
      <c r="F154" s="19">
        <v>202</v>
      </c>
      <c r="G154" s="3">
        <v>2.85</v>
      </c>
      <c r="H154" t="e" vm="11">
        <v>#VALUE!</v>
      </c>
      <c r="I154" t="e" cm="1" vm="12">
        <f t="array" ref="I154">_FV(H154,"Country/region",TRUE)</f>
        <v>#VALUE!</v>
      </c>
      <c r="J154" t="s">
        <v>10</v>
      </c>
      <c r="K154" t="s">
        <v>11</v>
      </c>
      <c r="L154" t="s">
        <v>24</v>
      </c>
      <c r="M154">
        <f>Table1[[#This Row],[Price]]*Table1[[#This Row],[Quantity]]</f>
        <v>2009.8999999999999</v>
      </c>
    </row>
    <row r="155" spans="2:13" x14ac:dyDescent="0.3">
      <c r="B155" s="3">
        <v>10612</v>
      </c>
      <c r="C155" s="4">
        <v>44904</v>
      </c>
      <c r="D155" t="s">
        <v>9</v>
      </c>
      <c r="E155" s="3">
        <v>3.49</v>
      </c>
      <c r="F155" s="19">
        <v>631</v>
      </c>
      <c r="G155" s="3">
        <v>0.88</v>
      </c>
      <c r="H155" t="e" vm="11">
        <v>#VALUE!</v>
      </c>
      <c r="I155" t="e" cm="1" vm="12">
        <f t="array" ref="I155">_FV(H155,"Country/region",TRUE)</f>
        <v>#VALUE!</v>
      </c>
      <c r="J155" t="s">
        <v>10</v>
      </c>
      <c r="K155" t="s">
        <v>11</v>
      </c>
      <c r="L155" t="s">
        <v>24</v>
      </c>
      <c r="M155">
        <f>Table1[[#This Row],[Price]]*Table1[[#This Row],[Quantity]]</f>
        <v>2202.19</v>
      </c>
    </row>
    <row r="156" spans="2:13" x14ac:dyDescent="0.3">
      <c r="B156" s="3">
        <v>10613</v>
      </c>
      <c r="C156" s="4">
        <v>44904</v>
      </c>
      <c r="D156" t="s">
        <v>12</v>
      </c>
      <c r="E156" s="3">
        <v>2.95</v>
      </c>
      <c r="F156" s="19">
        <v>678</v>
      </c>
      <c r="G156" s="3">
        <v>0.47</v>
      </c>
      <c r="H156" t="e" vm="11">
        <v>#VALUE!</v>
      </c>
      <c r="I156" t="e" cm="1" vm="12">
        <f t="array" ref="I156">_FV(H156,"Country/region",TRUE)</f>
        <v>#VALUE!</v>
      </c>
      <c r="J156" t="s">
        <v>10</v>
      </c>
      <c r="K156" t="s">
        <v>11</v>
      </c>
      <c r="L156" t="s">
        <v>24</v>
      </c>
      <c r="M156">
        <f>Table1[[#This Row],[Price]]*Table1[[#This Row],[Quantity]]</f>
        <v>2000.1000000000001</v>
      </c>
    </row>
    <row r="157" spans="2:13" x14ac:dyDescent="0.3">
      <c r="B157" s="3">
        <v>10614</v>
      </c>
      <c r="C157" s="4">
        <v>44904</v>
      </c>
      <c r="D157" t="s">
        <v>13</v>
      </c>
      <c r="E157" s="3">
        <v>4.99</v>
      </c>
      <c r="F157" s="19">
        <v>201</v>
      </c>
      <c r="G157" s="3">
        <v>2.25</v>
      </c>
      <c r="H157" t="e" vm="11">
        <v>#VALUE!</v>
      </c>
      <c r="I157" t="e" cm="1" vm="12">
        <f t="array" ref="I157">_FV(H157,"Country/region",TRUE)</f>
        <v>#VALUE!</v>
      </c>
      <c r="J157" t="s">
        <v>10</v>
      </c>
      <c r="K157" t="s">
        <v>11</v>
      </c>
      <c r="L157" t="s">
        <v>24</v>
      </c>
      <c r="M157">
        <f>Table1[[#This Row],[Price]]*Table1[[#This Row],[Quantity]]</f>
        <v>1002.99</v>
      </c>
    </row>
    <row r="158" spans="2:13" x14ac:dyDescent="0.3">
      <c r="B158" s="3">
        <v>10615</v>
      </c>
      <c r="C158" s="4">
        <v>44905</v>
      </c>
      <c r="D158" t="s">
        <v>15</v>
      </c>
      <c r="E158" s="3">
        <v>12.99</v>
      </c>
      <c r="F158" s="19">
        <v>570</v>
      </c>
      <c r="G158" s="3">
        <v>4.32</v>
      </c>
      <c r="H158" t="e" vm="11">
        <v>#VALUE!</v>
      </c>
      <c r="I158" t="e" cm="1" vm="12">
        <f t="array" ref="I158">_FV(H158,"Country/region",TRUE)</f>
        <v>#VALUE!</v>
      </c>
      <c r="J158" t="s">
        <v>10</v>
      </c>
      <c r="K158" t="s">
        <v>11</v>
      </c>
      <c r="L158" t="s">
        <v>24</v>
      </c>
      <c r="M158">
        <f>Table1[[#This Row],[Price]]*Table1[[#This Row],[Quantity]]</f>
        <v>7404.3</v>
      </c>
    </row>
    <row r="159" spans="2:13" x14ac:dyDescent="0.3">
      <c r="B159" s="3">
        <v>10616</v>
      </c>
      <c r="C159" s="4">
        <v>44905</v>
      </c>
      <c r="D159" t="s">
        <v>18</v>
      </c>
      <c r="E159" s="3">
        <v>9.9499999999999993</v>
      </c>
      <c r="F159" s="19">
        <v>202</v>
      </c>
      <c r="G159" s="3">
        <v>2.85</v>
      </c>
      <c r="H159" t="e" vm="11">
        <v>#VALUE!</v>
      </c>
      <c r="I159" t="e" cm="1" vm="12">
        <f t="array" ref="I159">_FV(H159,"Country/region",TRUE)</f>
        <v>#VALUE!</v>
      </c>
      <c r="J159" t="s">
        <v>10</v>
      </c>
      <c r="K159" t="s">
        <v>11</v>
      </c>
      <c r="L159" t="s">
        <v>24</v>
      </c>
      <c r="M159">
        <f>Table1[[#This Row],[Price]]*Table1[[#This Row],[Quantity]]</f>
        <v>2009.8999999999999</v>
      </c>
    </row>
    <row r="160" spans="2:13" x14ac:dyDescent="0.3">
      <c r="B160" s="3">
        <v>10617</v>
      </c>
      <c r="C160" s="4">
        <v>44905</v>
      </c>
      <c r="D160" t="s">
        <v>9</v>
      </c>
      <c r="E160" s="3">
        <v>3.49</v>
      </c>
      <c r="F160" s="19">
        <v>631</v>
      </c>
      <c r="G160" s="3">
        <v>0.88</v>
      </c>
      <c r="H160" t="e" vm="11">
        <v>#VALUE!</v>
      </c>
      <c r="I160" t="e" cm="1" vm="12">
        <f t="array" ref="I160">_FV(H160,"Country/region",TRUE)</f>
        <v>#VALUE!</v>
      </c>
      <c r="J160" t="s">
        <v>10</v>
      </c>
      <c r="K160" t="s">
        <v>11</v>
      </c>
      <c r="L160" t="s">
        <v>24</v>
      </c>
      <c r="M160">
        <f>Table1[[#This Row],[Price]]*Table1[[#This Row],[Quantity]]</f>
        <v>2202.19</v>
      </c>
    </row>
    <row r="161" spans="2:13" x14ac:dyDescent="0.3">
      <c r="B161" s="3">
        <v>10618</v>
      </c>
      <c r="C161" s="4">
        <v>44905</v>
      </c>
      <c r="D161" t="s">
        <v>12</v>
      </c>
      <c r="E161" s="3">
        <v>2.95</v>
      </c>
      <c r="F161" s="19">
        <v>678</v>
      </c>
      <c r="G161" s="3">
        <v>0.47</v>
      </c>
      <c r="H161" t="e" vm="11">
        <v>#VALUE!</v>
      </c>
      <c r="I161" t="e" cm="1" vm="12">
        <f t="array" ref="I161">_FV(H161,"Country/region",TRUE)</f>
        <v>#VALUE!</v>
      </c>
      <c r="J161" t="s">
        <v>10</v>
      </c>
      <c r="K161" t="s">
        <v>11</v>
      </c>
      <c r="L161" t="s">
        <v>24</v>
      </c>
      <c r="M161">
        <f>Table1[[#This Row],[Price]]*Table1[[#This Row],[Quantity]]</f>
        <v>2000.1000000000001</v>
      </c>
    </row>
    <row r="162" spans="2:13" x14ac:dyDescent="0.3">
      <c r="B162" s="3">
        <v>10619</v>
      </c>
      <c r="C162" s="4">
        <v>44905</v>
      </c>
      <c r="D162" t="s">
        <v>13</v>
      </c>
      <c r="E162" s="3">
        <v>4.99</v>
      </c>
      <c r="F162" s="19">
        <v>201</v>
      </c>
      <c r="G162" s="3">
        <v>2.25</v>
      </c>
      <c r="H162" t="e" vm="11">
        <v>#VALUE!</v>
      </c>
      <c r="I162" t="e" cm="1" vm="12">
        <f t="array" ref="I162">_FV(H162,"Country/region",TRUE)</f>
        <v>#VALUE!</v>
      </c>
      <c r="J162" t="s">
        <v>10</v>
      </c>
      <c r="K162" t="s">
        <v>11</v>
      </c>
      <c r="L162" t="s">
        <v>24</v>
      </c>
      <c r="M162">
        <f>Table1[[#This Row],[Price]]*Table1[[#This Row],[Quantity]]</f>
        <v>1002.99</v>
      </c>
    </row>
    <row r="163" spans="2:13" x14ac:dyDescent="0.3">
      <c r="B163" s="3">
        <v>10620</v>
      </c>
      <c r="C163" s="4">
        <v>44906</v>
      </c>
      <c r="D163" t="s">
        <v>15</v>
      </c>
      <c r="E163" s="3">
        <v>12.99</v>
      </c>
      <c r="F163" s="19">
        <v>586</v>
      </c>
      <c r="G163" s="3">
        <v>4.32</v>
      </c>
      <c r="H163" t="e" vm="11">
        <v>#VALUE!</v>
      </c>
      <c r="I163" t="e" cm="1" vm="12">
        <f t="array" ref="I163">_FV(H163,"Country/region",TRUE)</f>
        <v>#VALUE!</v>
      </c>
      <c r="J163" t="s">
        <v>10</v>
      </c>
      <c r="K163" t="s">
        <v>11</v>
      </c>
      <c r="L163" t="s">
        <v>24</v>
      </c>
      <c r="M163">
        <f>Table1[[#This Row],[Price]]*Table1[[#This Row],[Quantity]]</f>
        <v>7612.14</v>
      </c>
    </row>
    <row r="164" spans="2:13" x14ac:dyDescent="0.3">
      <c r="B164" s="3">
        <v>10621</v>
      </c>
      <c r="C164" s="4">
        <v>44906</v>
      </c>
      <c r="D164" t="s">
        <v>18</v>
      </c>
      <c r="E164" s="3">
        <v>9.9499999999999993</v>
      </c>
      <c r="F164" s="19">
        <v>202</v>
      </c>
      <c r="G164" s="3">
        <v>2.85</v>
      </c>
      <c r="H164" t="e" vm="11">
        <v>#VALUE!</v>
      </c>
      <c r="I164" t="e" cm="1" vm="12">
        <f t="array" ref="I164">_FV(H164,"Country/region",TRUE)</f>
        <v>#VALUE!</v>
      </c>
      <c r="J164" t="s">
        <v>10</v>
      </c>
      <c r="K164" t="s">
        <v>11</v>
      </c>
      <c r="L164" t="s">
        <v>24</v>
      </c>
      <c r="M164">
        <f>Table1[[#This Row],[Price]]*Table1[[#This Row],[Quantity]]</f>
        <v>2009.8999999999999</v>
      </c>
    </row>
    <row r="165" spans="2:13" x14ac:dyDescent="0.3">
      <c r="B165" s="3">
        <v>10622</v>
      </c>
      <c r="C165" s="4">
        <v>44906</v>
      </c>
      <c r="D165" t="s">
        <v>9</v>
      </c>
      <c r="E165" s="3">
        <v>3.49</v>
      </c>
      <c r="F165" s="19">
        <v>631</v>
      </c>
      <c r="G165" s="3">
        <v>0.88</v>
      </c>
      <c r="H165" t="e" vm="11">
        <v>#VALUE!</v>
      </c>
      <c r="I165" t="e" cm="1" vm="12">
        <f t="array" ref="I165">_FV(H165,"Country/region",TRUE)</f>
        <v>#VALUE!</v>
      </c>
      <c r="J165" t="s">
        <v>10</v>
      </c>
      <c r="K165" t="s">
        <v>11</v>
      </c>
      <c r="L165" t="s">
        <v>24</v>
      </c>
      <c r="M165">
        <f>Table1[[#This Row],[Price]]*Table1[[#This Row],[Quantity]]</f>
        <v>2202.19</v>
      </c>
    </row>
    <row r="166" spans="2:13" x14ac:dyDescent="0.3">
      <c r="B166" s="3">
        <v>10623</v>
      </c>
      <c r="C166" s="4">
        <v>44906</v>
      </c>
      <c r="D166" t="s">
        <v>12</v>
      </c>
      <c r="E166" s="3">
        <v>2.95</v>
      </c>
      <c r="F166" s="19">
        <v>746</v>
      </c>
      <c r="G166" s="3">
        <v>0.47</v>
      </c>
      <c r="H166" t="e" vm="11">
        <v>#VALUE!</v>
      </c>
      <c r="I166" t="e" cm="1" vm="12">
        <f t="array" ref="I166">_FV(H166,"Country/region",TRUE)</f>
        <v>#VALUE!</v>
      </c>
      <c r="J166" t="s">
        <v>10</v>
      </c>
      <c r="K166" t="s">
        <v>11</v>
      </c>
      <c r="L166" t="s">
        <v>24</v>
      </c>
      <c r="M166">
        <f>Table1[[#This Row],[Price]]*Table1[[#This Row],[Quantity]]</f>
        <v>2200.7000000000003</v>
      </c>
    </row>
    <row r="167" spans="2:13" x14ac:dyDescent="0.3">
      <c r="B167" s="3">
        <v>10624</v>
      </c>
      <c r="C167" s="4">
        <v>44906</v>
      </c>
      <c r="D167" t="s">
        <v>13</v>
      </c>
      <c r="E167" s="3">
        <v>4.99</v>
      </c>
      <c r="F167" s="19">
        <v>201</v>
      </c>
      <c r="G167" s="3">
        <v>2.25</v>
      </c>
      <c r="H167" t="e" vm="11">
        <v>#VALUE!</v>
      </c>
      <c r="I167" t="e" cm="1" vm="12">
        <f t="array" ref="I167">_FV(H167,"Country/region",TRUE)</f>
        <v>#VALUE!</v>
      </c>
      <c r="J167" t="s">
        <v>10</v>
      </c>
      <c r="K167" t="s">
        <v>11</v>
      </c>
      <c r="L167" t="s">
        <v>24</v>
      </c>
      <c r="M167">
        <f>Table1[[#This Row],[Price]]*Table1[[#This Row],[Quantity]]</f>
        <v>1002.99</v>
      </c>
    </row>
    <row r="168" spans="2:13" x14ac:dyDescent="0.3">
      <c r="B168" s="3">
        <v>10625</v>
      </c>
      <c r="C168" s="4">
        <v>44907</v>
      </c>
      <c r="D168" t="s">
        <v>15</v>
      </c>
      <c r="E168" s="3">
        <v>12.99</v>
      </c>
      <c r="F168" s="19">
        <v>570</v>
      </c>
      <c r="G168" s="3">
        <v>4.32</v>
      </c>
      <c r="H168" t="e" vm="11">
        <v>#VALUE!</v>
      </c>
      <c r="I168" t="e" cm="1" vm="12">
        <f t="array" ref="I168">_FV(H168,"Country/region",TRUE)</f>
        <v>#VALUE!</v>
      </c>
      <c r="J168" t="s">
        <v>10</v>
      </c>
      <c r="K168" t="s">
        <v>11</v>
      </c>
      <c r="L168" t="s">
        <v>24</v>
      </c>
      <c r="M168">
        <f>Table1[[#This Row],[Price]]*Table1[[#This Row],[Quantity]]</f>
        <v>7404.3</v>
      </c>
    </row>
    <row r="169" spans="2:13" x14ac:dyDescent="0.3">
      <c r="B169" s="3">
        <v>10626</v>
      </c>
      <c r="C169" s="4">
        <v>44907</v>
      </c>
      <c r="D169" t="s">
        <v>18</v>
      </c>
      <c r="E169" s="3">
        <v>9.9499999999999993</v>
      </c>
      <c r="F169" s="19">
        <v>202</v>
      </c>
      <c r="G169" s="3">
        <v>2.85</v>
      </c>
      <c r="H169" t="e" vm="11">
        <v>#VALUE!</v>
      </c>
      <c r="I169" t="e" cm="1" vm="12">
        <f t="array" ref="I169">_FV(H169,"Country/region",TRUE)</f>
        <v>#VALUE!</v>
      </c>
      <c r="J169" t="s">
        <v>10</v>
      </c>
      <c r="K169" t="s">
        <v>11</v>
      </c>
      <c r="L169" t="s">
        <v>24</v>
      </c>
      <c r="M169">
        <f>Table1[[#This Row],[Price]]*Table1[[#This Row],[Quantity]]</f>
        <v>2009.8999999999999</v>
      </c>
    </row>
    <row r="170" spans="2:13" x14ac:dyDescent="0.3">
      <c r="B170" s="3">
        <v>10627</v>
      </c>
      <c r="C170" s="4">
        <v>44907</v>
      </c>
      <c r="D170" t="s">
        <v>9</v>
      </c>
      <c r="E170" s="3">
        <v>3.49</v>
      </c>
      <c r="F170" s="19">
        <v>631</v>
      </c>
      <c r="G170" s="3">
        <v>0.88</v>
      </c>
      <c r="H170" t="e" vm="11">
        <v>#VALUE!</v>
      </c>
      <c r="I170" t="e" cm="1" vm="12">
        <f t="array" ref="I170">_FV(H170,"Country/region",TRUE)</f>
        <v>#VALUE!</v>
      </c>
      <c r="J170" t="s">
        <v>10</v>
      </c>
      <c r="K170" t="s">
        <v>11</v>
      </c>
      <c r="L170" t="s">
        <v>24</v>
      </c>
      <c r="M170">
        <f>Table1[[#This Row],[Price]]*Table1[[#This Row],[Quantity]]</f>
        <v>2202.19</v>
      </c>
    </row>
    <row r="171" spans="2:13" x14ac:dyDescent="0.3">
      <c r="B171" s="3">
        <v>10628</v>
      </c>
      <c r="C171" s="4">
        <v>44907</v>
      </c>
      <c r="D171" t="s">
        <v>12</v>
      </c>
      <c r="E171" s="3">
        <v>2.95</v>
      </c>
      <c r="F171" s="19">
        <v>678</v>
      </c>
      <c r="G171" s="3">
        <v>0.47</v>
      </c>
      <c r="H171" s="5" t="e" vm="15">
        <v>#VALUE!</v>
      </c>
      <c r="I171" t="e" cm="1" vm="16">
        <f t="array" ref="I171">_FV(H171,"Country/region",TRUE)</f>
        <v>#VALUE!</v>
      </c>
      <c r="J171" t="s">
        <v>10</v>
      </c>
      <c r="K171" t="s">
        <v>11</v>
      </c>
      <c r="L171" t="s">
        <v>21</v>
      </c>
      <c r="M171">
        <f>Table1[[#This Row],[Price]]*Table1[[#This Row],[Quantity]]</f>
        <v>2000.1000000000001</v>
      </c>
    </row>
    <row r="172" spans="2:13" x14ac:dyDescent="0.3">
      <c r="B172" s="3">
        <v>10629</v>
      </c>
      <c r="C172" s="4">
        <v>44907</v>
      </c>
      <c r="D172" t="s">
        <v>13</v>
      </c>
      <c r="E172" s="3">
        <v>4.99</v>
      </c>
      <c r="F172" s="19">
        <v>201</v>
      </c>
      <c r="G172" s="3">
        <v>2.25</v>
      </c>
      <c r="H172" s="5" t="e" vm="15">
        <v>#VALUE!</v>
      </c>
      <c r="I172" t="e" cm="1" vm="16">
        <f t="array" ref="I172">_FV(H172,"Country/region",TRUE)</f>
        <v>#VALUE!</v>
      </c>
      <c r="J172" t="s">
        <v>10</v>
      </c>
      <c r="K172" t="s">
        <v>11</v>
      </c>
      <c r="L172" t="s">
        <v>21</v>
      </c>
      <c r="M172">
        <f>Table1[[#This Row],[Price]]*Table1[[#This Row],[Quantity]]</f>
        <v>1002.99</v>
      </c>
    </row>
    <row r="173" spans="2:13" x14ac:dyDescent="0.3">
      <c r="B173" s="3">
        <v>10630</v>
      </c>
      <c r="C173" s="4">
        <v>44908</v>
      </c>
      <c r="D173" t="s">
        <v>15</v>
      </c>
      <c r="E173" s="3">
        <v>12.99</v>
      </c>
      <c r="F173" s="19">
        <v>570</v>
      </c>
      <c r="G173" s="3">
        <v>4.32</v>
      </c>
      <c r="H173" s="5" t="e" vm="15">
        <v>#VALUE!</v>
      </c>
      <c r="I173" t="e" cm="1" vm="16">
        <f t="array" ref="I173">_FV(H173,"Country/region",TRUE)</f>
        <v>#VALUE!</v>
      </c>
      <c r="J173" t="s">
        <v>10</v>
      </c>
      <c r="K173" t="s">
        <v>23</v>
      </c>
      <c r="L173" t="s">
        <v>21</v>
      </c>
      <c r="M173">
        <f>Table1[[#This Row],[Price]]*Table1[[#This Row],[Quantity]]</f>
        <v>7404.3</v>
      </c>
    </row>
    <row r="174" spans="2:13" x14ac:dyDescent="0.3">
      <c r="B174" s="3">
        <v>10631</v>
      </c>
      <c r="C174" s="4">
        <v>44908</v>
      </c>
      <c r="D174" t="s">
        <v>18</v>
      </c>
      <c r="E174" s="3">
        <v>9.9499999999999993</v>
      </c>
      <c r="F174" s="19">
        <v>202</v>
      </c>
      <c r="G174" s="3">
        <v>2.85</v>
      </c>
      <c r="H174" s="5" t="e" vm="15">
        <v>#VALUE!</v>
      </c>
      <c r="I174" t="e" cm="1" vm="16">
        <f t="array" ref="I174">_FV(H174,"Country/region",TRUE)</f>
        <v>#VALUE!</v>
      </c>
      <c r="J174" t="s">
        <v>10</v>
      </c>
      <c r="K174" t="s">
        <v>11</v>
      </c>
      <c r="L174" t="s">
        <v>21</v>
      </c>
      <c r="M174">
        <f>Table1[[#This Row],[Price]]*Table1[[#This Row],[Quantity]]</f>
        <v>2009.8999999999999</v>
      </c>
    </row>
    <row r="175" spans="2:13" x14ac:dyDescent="0.3">
      <c r="B175" s="3">
        <v>10632</v>
      </c>
      <c r="C175" s="4">
        <v>44908</v>
      </c>
      <c r="D175" t="s">
        <v>9</v>
      </c>
      <c r="E175" s="3">
        <v>3.49</v>
      </c>
      <c r="F175" s="19">
        <v>631</v>
      </c>
      <c r="G175" s="3">
        <v>0.88</v>
      </c>
      <c r="H175" s="5" t="e" vm="15">
        <v>#VALUE!</v>
      </c>
      <c r="I175" t="e" cm="1" vm="16">
        <f t="array" ref="I175">_FV(H175,"Country/region",TRUE)</f>
        <v>#VALUE!</v>
      </c>
      <c r="J175" t="s">
        <v>10</v>
      </c>
      <c r="K175" t="s">
        <v>11</v>
      </c>
      <c r="L175" t="s">
        <v>21</v>
      </c>
      <c r="M175">
        <f>Table1[[#This Row],[Price]]*Table1[[#This Row],[Quantity]]</f>
        <v>2202.19</v>
      </c>
    </row>
    <row r="176" spans="2:13" x14ac:dyDescent="0.3">
      <c r="B176" s="3">
        <v>10633</v>
      </c>
      <c r="C176" s="4">
        <v>44908</v>
      </c>
      <c r="D176" t="s">
        <v>12</v>
      </c>
      <c r="E176" s="3">
        <v>2.95</v>
      </c>
      <c r="F176" s="19">
        <v>678</v>
      </c>
      <c r="G176" s="3">
        <v>0.47</v>
      </c>
      <c r="H176" s="5" t="e" vm="15">
        <v>#VALUE!</v>
      </c>
      <c r="I176" t="e" cm="1" vm="16">
        <f t="array" ref="I176">_FV(H176,"Country/region",TRUE)</f>
        <v>#VALUE!</v>
      </c>
      <c r="J176" t="s">
        <v>10</v>
      </c>
      <c r="K176" t="s">
        <v>11</v>
      </c>
      <c r="L176" t="s">
        <v>21</v>
      </c>
      <c r="M176">
        <f>Table1[[#This Row],[Price]]*Table1[[#This Row],[Quantity]]</f>
        <v>2000.1000000000001</v>
      </c>
    </row>
    <row r="177" spans="2:13" x14ac:dyDescent="0.3">
      <c r="B177" s="3">
        <v>10634</v>
      </c>
      <c r="C177" s="4">
        <v>44908</v>
      </c>
      <c r="D177" t="s">
        <v>13</v>
      </c>
      <c r="E177" s="3">
        <v>4.99</v>
      </c>
      <c r="F177" s="19">
        <v>201</v>
      </c>
      <c r="G177" s="3">
        <v>2.25</v>
      </c>
      <c r="H177" s="5" t="e" vm="15">
        <v>#VALUE!</v>
      </c>
      <c r="I177" t="e" cm="1" vm="16">
        <f t="array" ref="I177">_FV(H177,"Country/region",TRUE)</f>
        <v>#VALUE!</v>
      </c>
      <c r="J177" t="s">
        <v>10</v>
      </c>
      <c r="K177" t="s">
        <v>11</v>
      </c>
      <c r="L177" t="s">
        <v>21</v>
      </c>
      <c r="M177">
        <f>Table1[[#This Row],[Price]]*Table1[[#This Row],[Quantity]]</f>
        <v>1002.99</v>
      </c>
    </row>
    <row r="178" spans="2:13" x14ac:dyDescent="0.3">
      <c r="B178" s="3">
        <v>10635</v>
      </c>
      <c r="C178" s="4">
        <v>44909</v>
      </c>
      <c r="D178" t="s">
        <v>15</v>
      </c>
      <c r="E178" s="3">
        <v>12.99</v>
      </c>
      <c r="F178" s="19">
        <v>555</v>
      </c>
      <c r="G178" s="3">
        <v>4.32</v>
      </c>
      <c r="H178" s="5" t="e" vm="15">
        <v>#VALUE!</v>
      </c>
      <c r="I178" t="e" cm="1" vm="16">
        <f t="array" ref="I178">_FV(H178,"Country/region",TRUE)</f>
        <v>#VALUE!</v>
      </c>
      <c r="J178" t="s">
        <v>10</v>
      </c>
      <c r="K178" t="s">
        <v>11</v>
      </c>
      <c r="L178" t="s">
        <v>21</v>
      </c>
      <c r="M178">
        <f>Table1[[#This Row],[Price]]*Table1[[#This Row],[Quantity]]</f>
        <v>7209.45</v>
      </c>
    </row>
    <row r="179" spans="2:13" x14ac:dyDescent="0.3">
      <c r="B179" s="3">
        <v>10636</v>
      </c>
      <c r="C179" s="4">
        <v>44909</v>
      </c>
      <c r="D179" t="s">
        <v>18</v>
      </c>
      <c r="E179" s="3">
        <v>9.9499999999999993</v>
      </c>
      <c r="F179" s="19">
        <v>222</v>
      </c>
      <c r="G179" s="3">
        <v>2.85</v>
      </c>
      <c r="H179" s="5" t="e" vm="15">
        <v>#VALUE!</v>
      </c>
      <c r="I179" t="e" cm="1" vm="16">
        <f t="array" ref="I179">_FV(H179,"Country/region",TRUE)</f>
        <v>#VALUE!</v>
      </c>
      <c r="J179" t="s">
        <v>10</v>
      </c>
      <c r="K179" t="s">
        <v>11</v>
      </c>
      <c r="L179" t="s">
        <v>21</v>
      </c>
      <c r="M179">
        <f>Table1[[#This Row],[Price]]*Table1[[#This Row],[Quantity]]</f>
        <v>2208.8999999999996</v>
      </c>
    </row>
    <row r="180" spans="2:13" x14ac:dyDescent="0.3">
      <c r="B180" s="3">
        <v>10637</v>
      </c>
      <c r="C180" s="4">
        <v>44909</v>
      </c>
      <c r="D180" t="s">
        <v>9</v>
      </c>
      <c r="E180" s="3">
        <v>3.49</v>
      </c>
      <c r="F180" s="19">
        <v>631</v>
      </c>
      <c r="G180" s="3">
        <v>0.88</v>
      </c>
      <c r="H180" s="5" t="e" vm="15">
        <v>#VALUE!</v>
      </c>
      <c r="I180" t="e" cm="1" vm="16">
        <f t="array" ref="I180">_FV(H180,"Country/region",TRUE)</f>
        <v>#VALUE!</v>
      </c>
      <c r="J180" t="s">
        <v>10</v>
      </c>
      <c r="K180" t="s">
        <v>11</v>
      </c>
      <c r="L180" t="s">
        <v>21</v>
      </c>
      <c r="M180">
        <f>Table1[[#This Row],[Price]]*Table1[[#This Row],[Quantity]]</f>
        <v>2202.19</v>
      </c>
    </row>
    <row r="181" spans="2:13" x14ac:dyDescent="0.3">
      <c r="B181" s="3">
        <v>10638</v>
      </c>
      <c r="C181" s="4">
        <v>44909</v>
      </c>
      <c r="D181" t="s">
        <v>12</v>
      </c>
      <c r="E181" s="3">
        <v>2.95</v>
      </c>
      <c r="F181" s="19">
        <v>678</v>
      </c>
      <c r="G181" s="3">
        <v>0.47</v>
      </c>
      <c r="H181" s="5" t="e" vm="15">
        <v>#VALUE!</v>
      </c>
      <c r="I181" t="e" cm="1" vm="16">
        <f t="array" ref="I181">_FV(H181,"Country/region",TRUE)</f>
        <v>#VALUE!</v>
      </c>
      <c r="J181" t="s">
        <v>10</v>
      </c>
      <c r="K181" t="s">
        <v>11</v>
      </c>
      <c r="L181" t="s">
        <v>21</v>
      </c>
      <c r="M181">
        <f>Table1[[#This Row],[Price]]*Table1[[#This Row],[Quantity]]</f>
        <v>2000.1000000000001</v>
      </c>
    </row>
    <row r="182" spans="2:13" x14ac:dyDescent="0.3">
      <c r="B182" s="3">
        <v>10639</v>
      </c>
      <c r="C182" s="4">
        <v>44909</v>
      </c>
      <c r="D182" t="s">
        <v>13</v>
      </c>
      <c r="E182" s="3">
        <v>4.99</v>
      </c>
      <c r="F182" s="19">
        <v>201</v>
      </c>
      <c r="G182" s="3">
        <v>2.25</v>
      </c>
      <c r="H182" s="5" t="e" vm="15">
        <v>#VALUE!</v>
      </c>
      <c r="I182" t="e" cm="1" vm="16">
        <f t="array" ref="I182">_FV(H182,"Country/region",TRUE)</f>
        <v>#VALUE!</v>
      </c>
      <c r="J182" t="s">
        <v>10</v>
      </c>
      <c r="K182" t="s">
        <v>11</v>
      </c>
      <c r="L182" t="s">
        <v>21</v>
      </c>
      <c r="M182">
        <f>Table1[[#This Row],[Price]]*Table1[[#This Row],[Quantity]]</f>
        <v>1002.99</v>
      </c>
    </row>
    <row r="183" spans="2:13" x14ac:dyDescent="0.3">
      <c r="B183" s="3">
        <v>10640</v>
      </c>
      <c r="C183" s="4">
        <v>44910</v>
      </c>
      <c r="D183" t="s">
        <v>15</v>
      </c>
      <c r="E183" s="3">
        <v>12.99</v>
      </c>
      <c r="F183" s="19">
        <v>539</v>
      </c>
      <c r="G183" s="3">
        <v>4.32</v>
      </c>
      <c r="H183" s="5" t="e" vm="15">
        <v>#VALUE!</v>
      </c>
      <c r="I183" t="e" cm="1" vm="16">
        <f t="array" ref="I183">_FV(H183,"Country/region",TRUE)</f>
        <v>#VALUE!</v>
      </c>
      <c r="J183" t="s">
        <v>10</v>
      </c>
      <c r="K183" t="s">
        <v>11</v>
      </c>
      <c r="L183" t="s">
        <v>21</v>
      </c>
      <c r="M183">
        <f>Table1[[#This Row],[Price]]*Table1[[#This Row],[Quantity]]</f>
        <v>7001.61</v>
      </c>
    </row>
    <row r="184" spans="2:13" x14ac:dyDescent="0.3">
      <c r="B184" s="3">
        <v>10641</v>
      </c>
      <c r="C184" s="4">
        <v>44910</v>
      </c>
      <c r="D184" t="s">
        <v>18</v>
      </c>
      <c r="E184" s="3">
        <v>9.9499999999999993</v>
      </c>
      <c r="F184" s="19">
        <v>222</v>
      </c>
      <c r="G184" s="3">
        <v>2.85</v>
      </c>
      <c r="H184" s="5" t="e" vm="15">
        <v>#VALUE!</v>
      </c>
      <c r="I184" t="e" cm="1" vm="16">
        <f t="array" ref="I184">_FV(H184,"Country/region",TRUE)</f>
        <v>#VALUE!</v>
      </c>
      <c r="J184" t="s">
        <v>10</v>
      </c>
      <c r="K184" t="s">
        <v>11</v>
      </c>
      <c r="L184" t="s">
        <v>21</v>
      </c>
      <c r="M184">
        <f>Table1[[#This Row],[Price]]*Table1[[#This Row],[Quantity]]</f>
        <v>2208.8999999999996</v>
      </c>
    </row>
    <row r="185" spans="2:13" x14ac:dyDescent="0.3">
      <c r="B185" s="3">
        <v>10642</v>
      </c>
      <c r="C185" s="4">
        <v>44910</v>
      </c>
      <c r="D185" t="s">
        <v>9</v>
      </c>
      <c r="E185" s="3">
        <v>3.49</v>
      </c>
      <c r="F185" s="19">
        <v>631</v>
      </c>
      <c r="G185" s="3">
        <v>0.88</v>
      </c>
      <c r="H185" s="5" t="e" vm="15">
        <v>#VALUE!</v>
      </c>
      <c r="I185" t="e" cm="1" vm="16">
        <f t="array" ref="I185">_FV(H185,"Country/region",TRUE)</f>
        <v>#VALUE!</v>
      </c>
      <c r="J185" t="s">
        <v>10</v>
      </c>
      <c r="K185" t="s">
        <v>23</v>
      </c>
      <c r="L185" t="s">
        <v>21</v>
      </c>
      <c r="M185">
        <f>Table1[[#This Row],[Price]]*Table1[[#This Row],[Quantity]]</f>
        <v>2202.19</v>
      </c>
    </row>
    <row r="186" spans="2:13" x14ac:dyDescent="0.3">
      <c r="B186" s="3">
        <v>10643</v>
      </c>
      <c r="C186" s="4">
        <v>44910</v>
      </c>
      <c r="D186" t="s">
        <v>12</v>
      </c>
      <c r="E186" s="3">
        <v>2.95</v>
      </c>
      <c r="F186" s="19">
        <v>678</v>
      </c>
      <c r="G186" s="3">
        <v>0.47</v>
      </c>
      <c r="H186" s="5" t="e" vm="15">
        <v>#VALUE!</v>
      </c>
      <c r="I186" t="e" cm="1" vm="16">
        <f t="array" ref="I186">_FV(H186,"Country/region",TRUE)</f>
        <v>#VALUE!</v>
      </c>
      <c r="J186" t="s">
        <v>10</v>
      </c>
      <c r="K186" t="s">
        <v>23</v>
      </c>
      <c r="L186" t="s">
        <v>21</v>
      </c>
      <c r="M186">
        <f>Table1[[#This Row],[Price]]*Table1[[#This Row],[Quantity]]</f>
        <v>2000.1000000000001</v>
      </c>
    </row>
    <row r="187" spans="2:13" x14ac:dyDescent="0.3">
      <c r="B187" s="3">
        <v>10644</v>
      </c>
      <c r="C187" s="4">
        <v>44910</v>
      </c>
      <c r="D187" t="s">
        <v>13</v>
      </c>
      <c r="E187" s="3">
        <v>4.99</v>
      </c>
      <c r="F187" s="19">
        <v>201</v>
      </c>
      <c r="G187" s="3">
        <v>2.25</v>
      </c>
      <c r="H187" s="5" t="e" vm="15">
        <v>#VALUE!</v>
      </c>
      <c r="I187" t="e" cm="1" vm="16">
        <f t="array" ref="I187">_FV(H187,"Country/region",TRUE)</f>
        <v>#VALUE!</v>
      </c>
      <c r="J187" t="s">
        <v>10</v>
      </c>
      <c r="K187" t="s">
        <v>23</v>
      </c>
      <c r="L187" t="s">
        <v>21</v>
      </c>
      <c r="M187">
        <f>Table1[[#This Row],[Price]]*Table1[[#This Row],[Quantity]]</f>
        <v>1002.99</v>
      </c>
    </row>
    <row r="188" spans="2:13" x14ac:dyDescent="0.3">
      <c r="B188" s="3">
        <v>10645</v>
      </c>
      <c r="C188" s="4">
        <v>44911</v>
      </c>
      <c r="D188" t="s">
        <v>15</v>
      </c>
      <c r="E188" s="3">
        <v>12.99</v>
      </c>
      <c r="F188" s="19">
        <v>570</v>
      </c>
      <c r="G188" s="3">
        <v>4.32</v>
      </c>
      <c r="H188" s="5" t="e" vm="15">
        <v>#VALUE!</v>
      </c>
      <c r="I188" t="e" cm="1" vm="16">
        <f t="array" ref="I188">_FV(H188,"Country/region",TRUE)</f>
        <v>#VALUE!</v>
      </c>
      <c r="J188" t="s">
        <v>10</v>
      </c>
      <c r="K188" t="s">
        <v>23</v>
      </c>
      <c r="L188" t="s">
        <v>21</v>
      </c>
      <c r="M188">
        <f>Table1[[#This Row],[Price]]*Table1[[#This Row],[Quantity]]</f>
        <v>7404.3</v>
      </c>
    </row>
    <row r="189" spans="2:13" x14ac:dyDescent="0.3">
      <c r="B189" s="3">
        <v>10646</v>
      </c>
      <c r="C189" s="4">
        <v>44911</v>
      </c>
      <c r="D189" t="s">
        <v>18</v>
      </c>
      <c r="E189" s="3">
        <v>9.9499999999999993</v>
      </c>
      <c r="F189" s="19">
        <v>222</v>
      </c>
      <c r="G189" s="3">
        <v>2.85</v>
      </c>
      <c r="H189" s="5" t="e" vm="15">
        <v>#VALUE!</v>
      </c>
      <c r="I189" t="e" cm="1" vm="16">
        <f t="array" ref="I189">_FV(H189,"Country/region",TRUE)</f>
        <v>#VALUE!</v>
      </c>
      <c r="J189" t="s">
        <v>10</v>
      </c>
      <c r="K189" t="s">
        <v>23</v>
      </c>
      <c r="L189" t="s">
        <v>21</v>
      </c>
      <c r="M189">
        <f>Table1[[#This Row],[Price]]*Table1[[#This Row],[Quantity]]</f>
        <v>2208.8999999999996</v>
      </c>
    </row>
    <row r="190" spans="2:13" x14ac:dyDescent="0.3">
      <c r="B190" s="3">
        <v>10647</v>
      </c>
      <c r="C190" s="4">
        <v>44911</v>
      </c>
      <c r="D190" t="s">
        <v>9</v>
      </c>
      <c r="E190" s="3">
        <v>3.49</v>
      </c>
      <c r="F190" s="19">
        <v>631</v>
      </c>
      <c r="G190" s="3">
        <v>0.88</v>
      </c>
      <c r="H190" s="5" t="e" vm="15">
        <v>#VALUE!</v>
      </c>
      <c r="I190" t="e" cm="1" vm="16">
        <f t="array" ref="I190">_FV(H190,"Country/region",TRUE)</f>
        <v>#VALUE!</v>
      </c>
      <c r="J190" t="s">
        <v>10</v>
      </c>
      <c r="K190" t="s">
        <v>11</v>
      </c>
      <c r="L190" t="s">
        <v>21</v>
      </c>
      <c r="M190">
        <f>Table1[[#This Row],[Price]]*Table1[[#This Row],[Quantity]]</f>
        <v>2202.19</v>
      </c>
    </row>
    <row r="191" spans="2:13" x14ac:dyDescent="0.3">
      <c r="B191" s="3">
        <v>10648</v>
      </c>
      <c r="C191" s="4">
        <v>44911</v>
      </c>
      <c r="D191" t="s">
        <v>12</v>
      </c>
      <c r="E191" s="3">
        <v>2.95</v>
      </c>
      <c r="F191" s="19">
        <v>746</v>
      </c>
      <c r="G191" s="3">
        <v>0.47</v>
      </c>
      <c r="H191" s="5" t="e" vm="15">
        <v>#VALUE!</v>
      </c>
      <c r="I191" t="e" cm="1" vm="16">
        <f t="array" ref="I191">_FV(H191,"Country/region",TRUE)</f>
        <v>#VALUE!</v>
      </c>
      <c r="J191" t="s">
        <v>10</v>
      </c>
      <c r="K191" t="s">
        <v>11</v>
      </c>
      <c r="L191" t="s">
        <v>21</v>
      </c>
      <c r="M191">
        <f>Table1[[#This Row],[Price]]*Table1[[#This Row],[Quantity]]</f>
        <v>2200.7000000000003</v>
      </c>
    </row>
    <row r="192" spans="2:13" x14ac:dyDescent="0.3">
      <c r="B192" s="3">
        <v>10649</v>
      </c>
      <c r="C192" s="4">
        <v>44911</v>
      </c>
      <c r="D192" t="s">
        <v>13</v>
      </c>
      <c r="E192" s="3">
        <v>4.99</v>
      </c>
      <c r="F192" s="19">
        <v>201</v>
      </c>
      <c r="G192" s="3">
        <v>2.25</v>
      </c>
      <c r="H192" s="5" t="e" vm="15">
        <v>#VALUE!</v>
      </c>
      <c r="I192" t="e" cm="1" vm="16">
        <f t="array" ref="I192">_FV(H192,"Country/region",TRUE)</f>
        <v>#VALUE!</v>
      </c>
      <c r="J192" t="s">
        <v>10</v>
      </c>
      <c r="K192" t="s">
        <v>11</v>
      </c>
      <c r="L192" t="s">
        <v>21</v>
      </c>
      <c r="M192">
        <f>Table1[[#This Row],[Price]]*Table1[[#This Row],[Quantity]]</f>
        <v>1002.99</v>
      </c>
    </row>
    <row r="193" spans="2:13" x14ac:dyDescent="0.3">
      <c r="B193" s="3">
        <v>10650</v>
      </c>
      <c r="C193" s="4">
        <v>44912</v>
      </c>
      <c r="D193" t="s">
        <v>15</v>
      </c>
      <c r="E193" s="3">
        <v>12.99</v>
      </c>
      <c r="F193" s="19">
        <v>586</v>
      </c>
      <c r="G193" s="3">
        <v>4.32</v>
      </c>
      <c r="H193" s="5" t="e" vm="15">
        <v>#VALUE!</v>
      </c>
      <c r="I193" t="e" cm="1" vm="16">
        <f t="array" ref="I193">_FV(H193,"Country/region",TRUE)</f>
        <v>#VALUE!</v>
      </c>
      <c r="J193" t="s">
        <v>10</v>
      </c>
      <c r="K193" t="s">
        <v>11</v>
      </c>
      <c r="L193" t="s">
        <v>21</v>
      </c>
      <c r="M193">
        <f>Table1[[#This Row],[Price]]*Table1[[#This Row],[Quantity]]</f>
        <v>7612.14</v>
      </c>
    </row>
    <row r="194" spans="2:13" x14ac:dyDescent="0.3">
      <c r="B194" s="3">
        <v>10651</v>
      </c>
      <c r="C194" s="4">
        <v>44912</v>
      </c>
      <c r="D194" t="s">
        <v>18</v>
      </c>
      <c r="E194" s="3">
        <v>9.9499999999999993</v>
      </c>
      <c r="F194" s="19">
        <v>222</v>
      </c>
      <c r="G194" s="3">
        <v>2.85</v>
      </c>
      <c r="H194" s="5" t="e" vm="15">
        <v>#VALUE!</v>
      </c>
      <c r="I194" t="e" cm="1" vm="16">
        <f t="array" ref="I194">_FV(H194,"Country/region",TRUE)</f>
        <v>#VALUE!</v>
      </c>
      <c r="J194" t="s">
        <v>10</v>
      </c>
      <c r="K194" t="s">
        <v>11</v>
      </c>
      <c r="L194" t="s">
        <v>21</v>
      </c>
      <c r="M194">
        <f>Table1[[#This Row],[Price]]*Table1[[#This Row],[Quantity]]</f>
        <v>2208.8999999999996</v>
      </c>
    </row>
    <row r="195" spans="2:13" x14ac:dyDescent="0.3">
      <c r="B195" s="3">
        <v>10652</v>
      </c>
      <c r="C195" s="4">
        <v>44912</v>
      </c>
      <c r="D195" t="s">
        <v>9</v>
      </c>
      <c r="E195" s="3">
        <v>3.49</v>
      </c>
      <c r="F195" s="19">
        <v>688</v>
      </c>
      <c r="G195" s="3">
        <v>0.88</v>
      </c>
      <c r="H195" s="5" t="e" vm="15">
        <v>#VALUE!</v>
      </c>
      <c r="I195" t="e" cm="1" vm="16">
        <f t="array" ref="I195">_FV(H195,"Country/region",TRUE)</f>
        <v>#VALUE!</v>
      </c>
      <c r="J195" t="s">
        <v>10</v>
      </c>
      <c r="K195" t="s">
        <v>11</v>
      </c>
      <c r="L195" t="s">
        <v>21</v>
      </c>
      <c r="M195">
        <f>Table1[[#This Row],[Price]]*Table1[[#This Row],[Quantity]]</f>
        <v>2401.1200000000003</v>
      </c>
    </row>
    <row r="196" spans="2:13" x14ac:dyDescent="0.3">
      <c r="B196" s="3">
        <v>10653</v>
      </c>
      <c r="C196" s="4">
        <v>44912</v>
      </c>
      <c r="D196" t="s">
        <v>12</v>
      </c>
      <c r="E196" s="3">
        <v>2.95</v>
      </c>
      <c r="F196" s="19">
        <v>746</v>
      </c>
      <c r="G196" s="3">
        <v>0.47</v>
      </c>
      <c r="H196" s="5" t="e" vm="15">
        <v>#VALUE!</v>
      </c>
      <c r="I196" t="e" cm="1" vm="16">
        <f t="array" ref="I196">_FV(H196,"Country/region",TRUE)</f>
        <v>#VALUE!</v>
      </c>
      <c r="J196" t="s">
        <v>10</v>
      </c>
      <c r="K196" t="s">
        <v>11</v>
      </c>
      <c r="L196" t="s">
        <v>21</v>
      </c>
      <c r="M196">
        <f>Table1[[#This Row],[Price]]*Table1[[#This Row],[Quantity]]</f>
        <v>2200.7000000000003</v>
      </c>
    </row>
    <row r="197" spans="2:13" x14ac:dyDescent="0.3">
      <c r="B197" s="3">
        <v>10654</v>
      </c>
      <c r="C197" s="4">
        <v>44912</v>
      </c>
      <c r="D197" t="s">
        <v>13</v>
      </c>
      <c r="E197" s="3">
        <v>4.99</v>
      </c>
      <c r="F197" s="19">
        <v>201</v>
      </c>
      <c r="G197" s="3">
        <v>2.25</v>
      </c>
      <c r="H197" s="5" t="e" vm="15">
        <v>#VALUE!</v>
      </c>
      <c r="I197" t="e" cm="1" vm="16">
        <f t="array" ref="I197">_FV(H197,"Country/region",TRUE)</f>
        <v>#VALUE!</v>
      </c>
      <c r="J197" t="s">
        <v>10</v>
      </c>
      <c r="K197" t="s">
        <v>11</v>
      </c>
      <c r="L197" t="s">
        <v>21</v>
      </c>
      <c r="M197">
        <f>Table1[[#This Row],[Price]]*Table1[[#This Row],[Quantity]]</f>
        <v>1002.99</v>
      </c>
    </row>
    <row r="198" spans="2:13" x14ac:dyDescent="0.3">
      <c r="B198" s="3">
        <v>10655</v>
      </c>
      <c r="C198" s="4">
        <v>44913</v>
      </c>
      <c r="D198" t="s">
        <v>15</v>
      </c>
      <c r="E198" s="3">
        <v>12.99</v>
      </c>
      <c r="F198" s="19">
        <v>601</v>
      </c>
      <c r="G198" s="3">
        <v>4.32</v>
      </c>
      <c r="H198" s="5" t="e" vm="15">
        <v>#VALUE!</v>
      </c>
      <c r="I198" t="e" cm="1" vm="16">
        <f t="array" ref="I198">_FV(H198,"Country/region",TRUE)</f>
        <v>#VALUE!</v>
      </c>
      <c r="J198" t="s">
        <v>10</v>
      </c>
      <c r="K198" t="s">
        <v>11</v>
      </c>
      <c r="L198" t="s">
        <v>21</v>
      </c>
      <c r="M198">
        <f>Table1[[#This Row],[Price]]*Table1[[#This Row],[Quantity]]</f>
        <v>7806.99</v>
      </c>
    </row>
    <row r="199" spans="2:13" x14ac:dyDescent="0.3">
      <c r="B199" s="3">
        <v>10656</v>
      </c>
      <c r="C199" s="4">
        <v>44913</v>
      </c>
      <c r="D199" t="s">
        <v>18</v>
      </c>
      <c r="E199" s="3">
        <v>9.9499999999999993</v>
      </c>
      <c r="F199" s="19">
        <v>222</v>
      </c>
      <c r="G199" s="3">
        <v>2.85</v>
      </c>
      <c r="H199" s="5" t="e" vm="15">
        <v>#VALUE!</v>
      </c>
      <c r="I199" t="e" cm="1" vm="16">
        <f t="array" ref="I199">_FV(H199,"Country/region",TRUE)</f>
        <v>#VALUE!</v>
      </c>
      <c r="J199" t="s">
        <v>10</v>
      </c>
      <c r="K199" t="s">
        <v>11</v>
      </c>
      <c r="L199" t="s">
        <v>21</v>
      </c>
      <c r="M199">
        <f>Table1[[#This Row],[Price]]*Table1[[#This Row],[Quantity]]</f>
        <v>2208.8999999999996</v>
      </c>
    </row>
    <row r="200" spans="2:13" x14ac:dyDescent="0.3">
      <c r="B200" s="3">
        <v>10657</v>
      </c>
      <c r="C200" s="4">
        <v>44913</v>
      </c>
      <c r="D200" t="s">
        <v>9</v>
      </c>
      <c r="E200" s="3">
        <v>3.49</v>
      </c>
      <c r="F200" s="19">
        <v>688</v>
      </c>
      <c r="G200" s="3">
        <v>0.88</v>
      </c>
      <c r="H200" s="5" t="e" vm="15">
        <v>#VALUE!</v>
      </c>
      <c r="I200" t="e" cm="1" vm="16">
        <f t="array" ref="I200">_FV(H200,"Country/region",TRUE)</f>
        <v>#VALUE!</v>
      </c>
      <c r="J200" t="s">
        <v>10</v>
      </c>
      <c r="K200" t="s">
        <v>11</v>
      </c>
      <c r="L200" t="s">
        <v>21</v>
      </c>
      <c r="M200">
        <f>Table1[[#This Row],[Price]]*Table1[[#This Row],[Quantity]]</f>
        <v>2401.1200000000003</v>
      </c>
    </row>
    <row r="201" spans="2:13" x14ac:dyDescent="0.3">
      <c r="B201" s="3">
        <v>10658</v>
      </c>
      <c r="C201" s="4">
        <v>44913</v>
      </c>
      <c r="D201" t="s">
        <v>12</v>
      </c>
      <c r="E201" s="3">
        <v>2.95</v>
      </c>
      <c r="F201" s="19">
        <v>746</v>
      </c>
      <c r="G201" s="3">
        <v>0.47</v>
      </c>
      <c r="H201" s="5" t="e" vm="15">
        <v>#VALUE!</v>
      </c>
      <c r="I201" t="e" cm="1" vm="16">
        <f t="array" ref="I201">_FV(H201,"Country/region",TRUE)</f>
        <v>#VALUE!</v>
      </c>
      <c r="J201" t="s">
        <v>10</v>
      </c>
      <c r="K201" t="s">
        <v>23</v>
      </c>
      <c r="L201" t="s">
        <v>21</v>
      </c>
      <c r="M201">
        <f>Table1[[#This Row],[Price]]*Table1[[#This Row],[Quantity]]</f>
        <v>2200.7000000000003</v>
      </c>
    </row>
    <row r="202" spans="2:13" x14ac:dyDescent="0.3">
      <c r="B202" s="3">
        <v>10659</v>
      </c>
      <c r="C202" s="4">
        <v>44913</v>
      </c>
      <c r="D202" t="s">
        <v>13</v>
      </c>
      <c r="E202" s="3">
        <v>4.99</v>
      </c>
      <c r="F202" s="19">
        <v>201</v>
      </c>
      <c r="G202" s="3">
        <v>2.25</v>
      </c>
      <c r="H202" s="5" t="e" vm="15">
        <v>#VALUE!</v>
      </c>
      <c r="I202" t="e" cm="1" vm="16">
        <f t="array" ref="I202">_FV(H202,"Country/region",TRUE)</f>
        <v>#VALUE!</v>
      </c>
      <c r="J202" t="s">
        <v>10</v>
      </c>
      <c r="K202" t="s">
        <v>23</v>
      </c>
      <c r="L202" t="s">
        <v>21</v>
      </c>
      <c r="M202">
        <f>Table1[[#This Row],[Price]]*Table1[[#This Row],[Quantity]]</f>
        <v>1002.99</v>
      </c>
    </row>
    <row r="203" spans="2:13" x14ac:dyDescent="0.3">
      <c r="B203" s="3">
        <v>10660</v>
      </c>
      <c r="C203" s="4">
        <v>44914</v>
      </c>
      <c r="D203" t="s">
        <v>15</v>
      </c>
      <c r="E203" s="3">
        <v>12.99</v>
      </c>
      <c r="F203" s="19">
        <v>632</v>
      </c>
      <c r="G203" s="3">
        <v>4.32</v>
      </c>
      <c r="H203" s="5" t="e" vm="15">
        <v>#VALUE!</v>
      </c>
      <c r="I203" t="e" cm="1" vm="16">
        <f t="array" ref="I203">_FV(H203,"Country/region",TRUE)</f>
        <v>#VALUE!</v>
      </c>
      <c r="J203" t="s">
        <v>14</v>
      </c>
      <c r="K203" t="s">
        <v>23</v>
      </c>
      <c r="L203" t="s">
        <v>21</v>
      </c>
      <c r="M203">
        <f>Table1[[#This Row],[Price]]*Table1[[#This Row],[Quantity]]</f>
        <v>8209.68</v>
      </c>
    </row>
    <row r="204" spans="2:13" x14ac:dyDescent="0.3">
      <c r="B204" s="3">
        <v>10661</v>
      </c>
      <c r="C204" s="4">
        <v>44914</v>
      </c>
      <c r="D204" t="s">
        <v>18</v>
      </c>
      <c r="E204" s="3">
        <v>9.9499999999999993</v>
      </c>
      <c r="F204" s="19">
        <v>222</v>
      </c>
      <c r="G204" s="3">
        <v>2.85</v>
      </c>
      <c r="H204" s="5" t="e" vm="15">
        <v>#VALUE!</v>
      </c>
      <c r="I204" t="e" cm="1" vm="16">
        <f t="array" ref="I204">_FV(H204,"Country/region",TRUE)</f>
        <v>#VALUE!</v>
      </c>
      <c r="J204" t="s">
        <v>14</v>
      </c>
      <c r="K204" t="s">
        <v>23</v>
      </c>
      <c r="L204" t="s">
        <v>21</v>
      </c>
      <c r="M204">
        <f>Table1[[#This Row],[Price]]*Table1[[#This Row],[Quantity]]</f>
        <v>2208.8999999999996</v>
      </c>
    </row>
    <row r="205" spans="2:13" x14ac:dyDescent="0.3">
      <c r="B205" s="3">
        <v>10662</v>
      </c>
      <c r="C205" s="4">
        <v>44914</v>
      </c>
      <c r="D205" t="s">
        <v>9</v>
      </c>
      <c r="E205" s="3">
        <v>3.49</v>
      </c>
      <c r="F205" s="19">
        <v>631</v>
      </c>
      <c r="G205" s="3">
        <v>0.88</v>
      </c>
      <c r="H205" s="5" t="e" vm="15">
        <v>#VALUE!</v>
      </c>
      <c r="I205" t="e" cm="1" vm="16">
        <f t="array" ref="I205">_FV(H205,"Country/region",TRUE)</f>
        <v>#VALUE!</v>
      </c>
      <c r="J205" t="s">
        <v>14</v>
      </c>
      <c r="K205" t="s">
        <v>23</v>
      </c>
      <c r="L205" t="s">
        <v>21</v>
      </c>
      <c r="M205">
        <f>Table1[[#This Row],[Price]]*Table1[[#This Row],[Quantity]]</f>
        <v>2202.19</v>
      </c>
    </row>
    <row r="206" spans="2:13" x14ac:dyDescent="0.3">
      <c r="B206" s="3">
        <v>10663</v>
      </c>
      <c r="C206" s="4">
        <v>44914</v>
      </c>
      <c r="D206" t="s">
        <v>12</v>
      </c>
      <c r="E206" s="3">
        <v>2.95</v>
      </c>
      <c r="F206" s="19">
        <v>746</v>
      </c>
      <c r="G206" s="3">
        <v>0.47</v>
      </c>
      <c r="H206" s="5" t="e" vm="15">
        <v>#VALUE!</v>
      </c>
      <c r="I206" t="e" cm="1" vm="16">
        <f t="array" ref="I206">_FV(H206,"Country/region",TRUE)</f>
        <v>#VALUE!</v>
      </c>
      <c r="J206" t="s">
        <v>14</v>
      </c>
      <c r="K206" t="s">
        <v>23</v>
      </c>
      <c r="L206" t="s">
        <v>21</v>
      </c>
      <c r="M206">
        <f>Table1[[#This Row],[Price]]*Table1[[#This Row],[Quantity]]</f>
        <v>2200.7000000000003</v>
      </c>
    </row>
    <row r="207" spans="2:13" x14ac:dyDescent="0.3">
      <c r="B207" s="3">
        <v>10664</v>
      </c>
      <c r="C207" s="4">
        <v>44914</v>
      </c>
      <c r="D207" t="s">
        <v>13</v>
      </c>
      <c r="E207" s="3">
        <v>4.99</v>
      </c>
      <c r="F207" s="19">
        <v>201</v>
      </c>
      <c r="G207" s="3">
        <v>2.25</v>
      </c>
      <c r="H207" s="5" t="e" vm="15">
        <v>#VALUE!</v>
      </c>
      <c r="I207" t="e" cm="1" vm="16">
        <f t="array" ref="I207">_FV(H207,"Country/region",TRUE)</f>
        <v>#VALUE!</v>
      </c>
      <c r="J207" t="s">
        <v>14</v>
      </c>
      <c r="K207" t="s">
        <v>23</v>
      </c>
      <c r="L207" t="s">
        <v>21</v>
      </c>
      <c r="M207">
        <f>Table1[[#This Row],[Price]]*Table1[[#This Row],[Quantity]]</f>
        <v>1002.99</v>
      </c>
    </row>
    <row r="208" spans="2:13" x14ac:dyDescent="0.3">
      <c r="B208" s="3">
        <v>10665</v>
      </c>
      <c r="C208" s="4">
        <v>44915</v>
      </c>
      <c r="D208" t="s">
        <v>15</v>
      </c>
      <c r="E208" s="3">
        <v>12.99</v>
      </c>
      <c r="F208" s="19">
        <v>647</v>
      </c>
      <c r="G208" s="3">
        <v>4.32</v>
      </c>
      <c r="H208" s="5" t="e" vm="15">
        <v>#VALUE!</v>
      </c>
      <c r="I208" t="e" cm="1" vm="16">
        <f t="array" ref="I208">_FV(H208,"Country/region",TRUE)</f>
        <v>#VALUE!</v>
      </c>
      <c r="J208" t="s">
        <v>14</v>
      </c>
      <c r="K208" t="s">
        <v>23</v>
      </c>
      <c r="L208" t="s">
        <v>21</v>
      </c>
      <c r="M208">
        <f>Table1[[#This Row],[Price]]*Table1[[#This Row],[Quantity]]</f>
        <v>8404.5300000000007</v>
      </c>
    </row>
    <row r="209" spans="2:13" x14ac:dyDescent="0.3">
      <c r="B209" s="3">
        <v>10666</v>
      </c>
      <c r="C209" s="4">
        <v>44915</v>
      </c>
      <c r="D209" t="s">
        <v>18</v>
      </c>
      <c r="E209" s="3">
        <v>9.9499999999999993</v>
      </c>
      <c r="F209" s="19">
        <v>222</v>
      </c>
      <c r="G209" s="3">
        <v>2.85</v>
      </c>
      <c r="H209" s="5" t="e" vm="15">
        <v>#VALUE!</v>
      </c>
      <c r="I209" t="e" cm="1" vm="16">
        <f t="array" ref="I209">_FV(H209,"Country/region",TRUE)</f>
        <v>#VALUE!</v>
      </c>
      <c r="J209" t="s">
        <v>14</v>
      </c>
      <c r="K209" t="s">
        <v>23</v>
      </c>
      <c r="L209" t="s">
        <v>21</v>
      </c>
      <c r="M209">
        <f>Table1[[#This Row],[Price]]*Table1[[#This Row],[Quantity]]</f>
        <v>2208.8999999999996</v>
      </c>
    </row>
    <row r="210" spans="2:13" x14ac:dyDescent="0.3">
      <c r="B210" s="3">
        <v>10667</v>
      </c>
      <c r="C210" s="4">
        <v>44915</v>
      </c>
      <c r="D210" t="s">
        <v>9</v>
      </c>
      <c r="E210" s="3">
        <v>3.49</v>
      </c>
      <c r="F210" s="19">
        <v>631</v>
      </c>
      <c r="G210" s="3">
        <v>0.88</v>
      </c>
      <c r="H210" s="5" t="e" vm="15">
        <v>#VALUE!</v>
      </c>
      <c r="I210" t="e" cm="1" vm="16">
        <f t="array" ref="I210">_FV(H210,"Country/region",TRUE)</f>
        <v>#VALUE!</v>
      </c>
      <c r="J210" t="s">
        <v>14</v>
      </c>
      <c r="K210" t="s">
        <v>23</v>
      </c>
      <c r="L210" t="s">
        <v>21</v>
      </c>
      <c r="M210">
        <f>Table1[[#This Row],[Price]]*Table1[[#This Row],[Quantity]]</f>
        <v>2202.19</v>
      </c>
    </row>
    <row r="211" spans="2:13" x14ac:dyDescent="0.3">
      <c r="B211" s="3">
        <v>10668</v>
      </c>
      <c r="C211" s="4">
        <v>44915</v>
      </c>
      <c r="D211" t="s">
        <v>12</v>
      </c>
      <c r="E211" s="3">
        <v>2.95</v>
      </c>
      <c r="F211" s="19">
        <v>746</v>
      </c>
      <c r="G211" s="3">
        <v>0.47</v>
      </c>
      <c r="H211" s="5" t="e" vm="15">
        <v>#VALUE!</v>
      </c>
      <c r="I211" t="e" cm="1" vm="16">
        <f t="array" ref="I211">_FV(H211,"Country/region",TRUE)</f>
        <v>#VALUE!</v>
      </c>
      <c r="J211" t="s">
        <v>14</v>
      </c>
      <c r="K211" t="s">
        <v>23</v>
      </c>
      <c r="L211" t="s">
        <v>21</v>
      </c>
      <c r="M211">
        <f>Table1[[#This Row],[Price]]*Table1[[#This Row],[Quantity]]</f>
        <v>2200.7000000000003</v>
      </c>
    </row>
    <row r="212" spans="2:13" x14ac:dyDescent="0.3">
      <c r="B212" s="3">
        <v>10669</v>
      </c>
      <c r="C212" s="4">
        <v>44915</v>
      </c>
      <c r="D212" t="s">
        <v>13</v>
      </c>
      <c r="E212" s="3">
        <v>4.99</v>
      </c>
      <c r="F212" s="19">
        <v>201</v>
      </c>
      <c r="G212" s="3">
        <v>2.25</v>
      </c>
      <c r="H212" s="5" t="e" vm="15">
        <v>#VALUE!</v>
      </c>
      <c r="I212" t="e" cm="1" vm="16">
        <f t="array" ref="I212">_FV(H212,"Country/region",TRUE)</f>
        <v>#VALUE!</v>
      </c>
      <c r="J212" t="s">
        <v>14</v>
      </c>
      <c r="K212" t="s">
        <v>23</v>
      </c>
      <c r="L212" t="s">
        <v>21</v>
      </c>
      <c r="M212">
        <f>Table1[[#This Row],[Price]]*Table1[[#This Row],[Quantity]]</f>
        <v>1002.99</v>
      </c>
    </row>
    <row r="213" spans="2:13" x14ac:dyDescent="0.3">
      <c r="B213" s="3">
        <v>10670</v>
      </c>
      <c r="C213" s="4">
        <v>44916</v>
      </c>
      <c r="D213" t="s">
        <v>15</v>
      </c>
      <c r="E213" s="3">
        <v>12.99</v>
      </c>
      <c r="F213" s="19">
        <v>678</v>
      </c>
      <c r="G213" s="3">
        <v>4.32</v>
      </c>
      <c r="H213" s="5" t="e" vm="15">
        <v>#VALUE!</v>
      </c>
      <c r="I213" t="e" cm="1" vm="16">
        <f t="array" ref="I213">_FV(H213,"Country/region",TRUE)</f>
        <v>#VALUE!</v>
      </c>
      <c r="J213" t="s">
        <v>14</v>
      </c>
      <c r="K213" t="s">
        <v>23</v>
      </c>
      <c r="L213" t="s">
        <v>21</v>
      </c>
      <c r="M213">
        <f>Table1[[#This Row],[Price]]*Table1[[#This Row],[Quantity]]</f>
        <v>8807.2199999999993</v>
      </c>
    </row>
    <row r="214" spans="2:13" x14ac:dyDescent="0.3">
      <c r="B214" s="3">
        <v>10671</v>
      </c>
      <c r="C214" s="4">
        <v>44916</v>
      </c>
      <c r="D214" t="s">
        <v>18</v>
      </c>
      <c r="E214" s="3">
        <v>9.9499999999999993</v>
      </c>
      <c r="F214" s="19">
        <v>222</v>
      </c>
      <c r="G214" s="3">
        <v>2.85</v>
      </c>
      <c r="H214" s="5" t="e" vm="15">
        <v>#VALUE!</v>
      </c>
      <c r="I214" t="e" cm="1" vm="16">
        <f t="array" ref="I214">_FV(H214,"Country/region",TRUE)</f>
        <v>#VALUE!</v>
      </c>
      <c r="J214" t="s">
        <v>14</v>
      </c>
      <c r="K214" t="s">
        <v>23</v>
      </c>
      <c r="L214" t="s">
        <v>21</v>
      </c>
      <c r="M214">
        <f>Table1[[#This Row],[Price]]*Table1[[#This Row],[Quantity]]</f>
        <v>2208.8999999999996</v>
      </c>
    </row>
    <row r="215" spans="2:13" x14ac:dyDescent="0.3">
      <c r="B215" s="3">
        <v>10672</v>
      </c>
      <c r="C215" s="4">
        <v>44916</v>
      </c>
      <c r="D215" t="s">
        <v>9</v>
      </c>
      <c r="E215" s="3">
        <v>3.49</v>
      </c>
      <c r="F215" s="19">
        <v>631</v>
      </c>
      <c r="G215" s="3">
        <v>0.88</v>
      </c>
      <c r="H215" s="5" t="e" vm="15">
        <v>#VALUE!</v>
      </c>
      <c r="I215" t="e" cm="1" vm="16">
        <f t="array" ref="I215">_FV(H215,"Country/region",TRUE)</f>
        <v>#VALUE!</v>
      </c>
      <c r="J215" t="s">
        <v>14</v>
      </c>
      <c r="K215" t="s">
        <v>23</v>
      </c>
      <c r="L215" t="s">
        <v>21</v>
      </c>
      <c r="M215">
        <f>Table1[[#This Row],[Price]]*Table1[[#This Row],[Quantity]]</f>
        <v>2202.19</v>
      </c>
    </row>
    <row r="216" spans="2:13" x14ac:dyDescent="0.3">
      <c r="B216" s="3">
        <v>10673</v>
      </c>
      <c r="C216" s="4">
        <v>44916</v>
      </c>
      <c r="D216" t="s">
        <v>12</v>
      </c>
      <c r="E216" s="3">
        <v>2.95</v>
      </c>
      <c r="F216" s="19">
        <v>746</v>
      </c>
      <c r="G216" s="3">
        <v>0.47</v>
      </c>
      <c r="H216" s="5" t="e" vm="15">
        <v>#VALUE!</v>
      </c>
      <c r="I216" t="e" cm="1" vm="16">
        <f t="array" ref="I216">_FV(H216,"Country/region",TRUE)</f>
        <v>#VALUE!</v>
      </c>
      <c r="J216" t="s">
        <v>14</v>
      </c>
      <c r="K216" t="s">
        <v>23</v>
      </c>
      <c r="L216" t="s">
        <v>21</v>
      </c>
      <c r="M216">
        <f>Table1[[#This Row],[Price]]*Table1[[#This Row],[Quantity]]</f>
        <v>2200.7000000000003</v>
      </c>
    </row>
    <row r="217" spans="2:13" x14ac:dyDescent="0.3">
      <c r="B217" s="3">
        <v>10674</v>
      </c>
      <c r="C217" s="4">
        <v>44916</v>
      </c>
      <c r="D217" t="s">
        <v>13</v>
      </c>
      <c r="E217" s="3">
        <v>4.99</v>
      </c>
      <c r="F217" s="19">
        <v>201</v>
      </c>
      <c r="G217" s="3">
        <v>2.25</v>
      </c>
      <c r="H217" s="5" t="e" vm="15">
        <v>#VALUE!</v>
      </c>
      <c r="I217" t="e" cm="1" vm="16">
        <f t="array" ref="I217">_FV(H217,"Country/region",TRUE)</f>
        <v>#VALUE!</v>
      </c>
      <c r="J217" t="s">
        <v>14</v>
      </c>
      <c r="K217" t="s">
        <v>23</v>
      </c>
      <c r="L217" t="s">
        <v>21</v>
      </c>
      <c r="M217">
        <f>Table1[[#This Row],[Price]]*Table1[[#This Row],[Quantity]]</f>
        <v>1002.99</v>
      </c>
    </row>
    <row r="218" spans="2:13" x14ac:dyDescent="0.3">
      <c r="B218" s="3">
        <v>10675</v>
      </c>
      <c r="C218" s="4">
        <v>44917</v>
      </c>
      <c r="D218" t="s">
        <v>15</v>
      </c>
      <c r="E218" s="3">
        <v>12.99</v>
      </c>
      <c r="F218" s="19">
        <v>678</v>
      </c>
      <c r="G218" s="3">
        <v>4.32</v>
      </c>
      <c r="H218" s="5" t="e" vm="15">
        <v>#VALUE!</v>
      </c>
      <c r="I218" t="e" cm="1" vm="16">
        <f t="array" ref="I218">_FV(H218,"Country/region",TRUE)</f>
        <v>#VALUE!</v>
      </c>
      <c r="J218" t="s">
        <v>14</v>
      </c>
      <c r="K218" t="s">
        <v>23</v>
      </c>
      <c r="L218" t="s">
        <v>21</v>
      </c>
      <c r="M218">
        <f>Table1[[#This Row],[Price]]*Table1[[#This Row],[Quantity]]</f>
        <v>8807.2199999999993</v>
      </c>
    </row>
    <row r="219" spans="2:13" x14ac:dyDescent="0.3">
      <c r="B219" s="3">
        <v>10676</v>
      </c>
      <c r="C219" s="4">
        <v>44917</v>
      </c>
      <c r="D219" t="s">
        <v>18</v>
      </c>
      <c r="E219" s="3">
        <v>9.9499999999999993</v>
      </c>
      <c r="F219" s="19">
        <v>242</v>
      </c>
      <c r="G219" s="3">
        <v>2.85</v>
      </c>
      <c r="H219" s="5" t="e" vm="15">
        <v>#VALUE!</v>
      </c>
      <c r="I219" t="e" cm="1" vm="16">
        <f t="array" ref="I219">_FV(H219,"Country/region",TRUE)</f>
        <v>#VALUE!</v>
      </c>
      <c r="J219" t="s">
        <v>14</v>
      </c>
      <c r="K219" t="s">
        <v>23</v>
      </c>
      <c r="L219" t="s">
        <v>21</v>
      </c>
      <c r="M219">
        <f>Table1[[#This Row],[Price]]*Table1[[#This Row],[Quantity]]</f>
        <v>2407.8999999999996</v>
      </c>
    </row>
    <row r="220" spans="2:13" x14ac:dyDescent="0.3">
      <c r="B220" s="3">
        <v>10677</v>
      </c>
      <c r="C220" s="4">
        <v>44917</v>
      </c>
      <c r="D220" t="s">
        <v>9</v>
      </c>
      <c r="E220" s="3">
        <v>3.49</v>
      </c>
      <c r="F220" s="19">
        <v>631</v>
      </c>
      <c r="G220" s="3">
        <v>0.88</v>
      </c>
      <c r="H220" s="5" t="e" vm="15">
        <v>#VALUE!</v>
      </c>
      <c r="I220" t="e" cm="1" vm="16">
        <f t="array" ref="I220">_FV(H220,"Country/region",TRUE)</f>
        <v>#VALUE!</v>
      </c>
      <c r="J220" t="s">
        <v>14</v>
      </c>
      <c r="K220" t="s">
        <v>23</v>
      </c>
      <c r="L220" t="s">
        <v>21</v>
      </c>
      <c r="M220">
        <f>Table1[[#This Row],[Price]]*Table1[[#This Row],[Quantity]]</f>
        <v>2202.19</v>
      </c>
    </row>
    <row r="221" spans="2:13" x14ac:dyDescent="0.3">
      <c r="B221" s="3">
        <v>10678</v>
      </c>
      <c r="C221" s="4">
        <v>44917</v>
      </c>
      <c r="D221" t="s">
        <v>12</v>
      </c>
      <c r="E221" s="3">
        <v>2.95</v>
      </c>
      <c r="F221" s="19">
        <v>746</v>
      </c>
      <c r="G221" s="3">
        <v>0.47</v>
      </c>
      <c r="H221" s="5" t="e" vm="15">
        <v>#VALUE!</v>
      </c>
      <c r="I221" t="e" cm="1" vm="16">
        <f t="array" ref="I221">_FV(H221,"Country/region",TRUE)</f>
        <v>#VALUE!</v>
      </c>
      <c r="J221" t="s">
        <v>14</v>
      </c>
      <c r="K221" t="s">
        <v>23</v>
      </c>
      <c r="L221" t="s">
        <v>21</v>
      </c>
      <c r="M221">
        <f>Table1[[#This Row],[Price]]*Table1[[#This Row],[Quantity]]</f>
        <v>2200.7000000000003</v>
      </c>
    </row>
    <row r="222" spans="2:13" x14ac:dyDescent="0.3">
      <c r="B222" s="3">
        <v>10679</v>
      </c>
      <c r="C222" s="4">
        <v>44917</v>
      </c>
      <c r="D222" t="s">
        <v>13</v>
      </c>
      <c r="E222" s="3">
        <v>4.99</v>
      </c>
      <c r="F222" s="19">
        <v>201</v>
      </c>
      <c r="G222" s="3">
        <v>2.25</v>
      </c>
      <c r="H222" s="5" t="e" vm="15">
        <v>#VALUE!</v>
      </c>
      <c r="I222" t="e" cm="1" vm="16">
        <f t="array" ref="I222">_FV(H222,"Country/region",TRUE)</f>
        <v>#VALUE!</v>
      </c>
      <c r="J222" t="s">
        <v>14</v>
      </c>
      <c r="K222" t="s">
        <v>23</v>
      </c>
      <c r="L222" t="s">
        <v>21</v>
      </c>
      <c r="M222">
        <f>Table1[[#This Row],[Price]]*Table1[[#This Row],[Quantity]]</f>
        <v>1002.99</v>
      </c>
    </row>
    <row r="223" spans="2:13" x14ac:dyDescent="0.3">
      <c r="B223" s="3">
        <v>10680</v>
      </c>
      <c r="C223" s="4">
        <v>44918</v>
      </c>
      <c r="D223" t="s">
        <v>15</v>
      </c>
      <c r="E223" s="3">
        <v>12.99</v>
      </c>
      <c r="F223" s="19">
        <v>647</v>
      </c>
      <c r="G223" s="3">
        <v>4.32</v>
      </c>
      <c r="H223" s="5" t="e" vm="15">
        <v>#VALUE!</v>
      </c>
      <c r="I223" t="e" cm="1" vm="16">
        <f t="array" ref="I223">_FV(H223,"Country/region",TRUE)</f>
        <v>#VALUE!</v>
      </c>
      <c r="J223" t="s">
        <v>14</v>
      </c>
      <c r="K223" t="s">
        <v>23</v>
      </c>
      <c r="L223" t="s">
        <v>21</v>
      </c>
      <c r="M223">
        <f>Table1[[#This Row],[Price]]*Table1[[#This Row],[Quantity]]</f>
        <v>8404.5300000000007</v>
      </c>
    </row>
    <row r="224" spans="2:13" x14ac:dyDescent="0.3">
      <c r="B224" s="3">
        <v>10681</v>
      </c>
      <c r="C224" s="4">
        <v>44918</v>
      </c>
      <c r="D224" t="s">
        <v>18</v>
      </c>
      <c r="E224" s="3">
        <v>9.9499999999999993</v>
      </c>
      <c r="F224" s="19">
        <v>242</v>
      </c>
      <c r="G224" s="3">
        <v>2.85</v>
      </c>
      <c r="H224" s="5" t="e" vm="15">
        <v>#VALUE!</v>
      </c>
      <c r="I224" t="e" cm="1" vm="16">
        <f t="array" ref="I224">_FV(H224,"Country/region",TRUE)</f>
        <v>#VALUE!</v>
      </c>
      <c r="J224" t="s">
        <v>14</v>
      </c>
      <c r="K224" t="s">
        <v>23</v>
      </c>
      <c r="L224" t="s">
        <v>21</v>
      </c>
      <c r="M224">
        <f>Table1[[#This Row],[Price]]*Table1[[#This Row],[Quantity]]</f>
        <v>2407.8999999999996</v>
      </c>
    </row>
    <row r="225" spans="2:13" x14ac:dyDescent="0.3">
      <c r="B225" s="3">
        <v>10682</v>
      </c>
      <c r="C225" s="4">
        <v>44918</v>
      </c>
      <c r="D225" t="s">
        <v>9</v>
      </c>
      <c r="E225" s="3">
        <v>3.49</v>
      </c>
      <c r="F225" s="19">
        <v>631</v>
      </c>
      <c r="G225" s="3">
        <v>0.88</v>
      </c>
      <c r="H225" s="5" t="e" vm="15">
        <v>#VALUE!</v>
      </c>
      <c r="I225" t="e" cm="1" vm="16">
        <f t="array" ref="I225">_FV(H225,"Country/region",TRUE)</f>
        <v>#VALUE!</v>
      </c>
      <c r="J225" t="s">
        <v>14</v>
      </c>
      <c r="K225" t="s">
        <v>23</v>
      </c>
      <c r="L225" t="s">
        <v>21</v>
      </c>
      <c r="M225">
        <f>Table1[[#This Row],[Price]]*Table1[[#This Row],[Quantity]]</f>
        <v>2202.19</v>
      </c>
    </row>
    <row r="226" spans="2:13" x14ac:dyDescent="0.3">
      <c r="B226" s="3">
        <v>10683</v>
      </c>
      <c r="C226" s="4">
        <v>44918</v>
      </c>
      <c r="D226" t="s">
        <v>12</v>
      </c>
      <c r="E226" s="3">
        <v>2.95</v>
      </c>
      <c r="F226" s="19">
        <v>678</v>
      </c>
      <c r="G226" s="3">
        <v>0.47</v>
      </c>
      <c r="H226" s="5" t="e" vm="15">
        <v>#VALUE!</v>
      </c>
      <c r="I226" t="e" cm="1" vm="16">
        <f t="array" ref="I226">_FV(H226,"Country/region",TRUE)</f>
        <v>#VALUE!</v>
      </c>
      <c r="J226" t="s">
        <v>14</v>
      </c>
      <c r="K226" t="s">
        <v>23</v>
      </c>
      <c r="L226" t="s">
        <v>21</v>
      </c>
      <c r="M226">
        <f>Table1[[#This Row],[Price]]*Table1[[#This Row],[Quantity]]</f>
        <v>2000.1000000000001</v>
      </c>
    </row>
    <row r="227" spans="2:13" x14ac:dyDescent="0.3">
      <c r="B227" s="3">
        <v>10684</v>
      </c>
      <c r="C227" s="4">
        <v>44918</v>
      </c>
      <c r="D227" t="s">
        <v>13</v>
      </c>
      <c r="E227" s="3">
        <v>4.99</v>
      </c>
      <c r="F227" s="19">
        <v>201</v>
      </c>
      <c r="G227" s="3">
        <v>2.25</v>
      </c>
      <c r="H227" s="5" t="e" vm="15">
        <v>#VALUE!</v>
      </c>
      <c r="I227" t="e" cm="1" vm="16">
        <f t="array" ref="I227">_FV(H227,"Country/region",TRUE)</f>
        <v>#VALUE!</v>
      </c>
      <c r="J227" t="s">
        <v>14</v>
      </c>
      <c r="K227" t="s">
        <v>23</v>
      </c>
      <c r="L227" t="s">
        <v>21</v>
      </c>
      <c r="M227">
        <f>Table1[[#This Row],[Price]]*Table1[[#This Row],[Quantity]]</f>
        <v>1002.99</v>
      </c>
    </row>
    <row r="228" spans="2:13" x14ac:dyDescent="0.3">
      <c r="B228" s="3">
        <v>10685</v>
      </c>
      <c r="C228" s="4">
        <v>44919</v>
      </c>
      <c r="D228" t="s">
        <v>15</v>
      </c>
      <c r="E228" s="3">
        <v>12.99</v>
      </c>
      <c r="F228" s="19">
        <v>678</v>
      </c>
      <c r="G228" s="3">
        <v>4.32</v>
      </c>
      <c r="H228" s="5" t="e" vm="15">
        <v>#VALUE!</v>
      </c>
      <c r="I228" t="e" cm="1" vm="16">
        <f t="array" ref="I228">_FV(H228,"Country/region",TRUE)</f>
        <v>#VALUE!</v>
      </c>
      <c r="J228" t="s">
        <v>14</v>
      </c>
      <c r="K228" t="s">
        <v>23</v>
      </c>
      <c r="L228" t="s">
        <v>21</v>
      </c>
      <c r="M228">
        <f>Table1[[#This Row],[Price]]*Table1[[#This Row],[Quantity]]</f>
        <v>8807.2199999999993</v>
      </c>
    </row>
    <row r="229" spans="2:13" x14ac:dyDescent="0.3">
      <c r="B229" s="3">
        <v>10686</v>
      </c>
      <c r="C229" s="4">
        <v>44919</v>
      </c>
      <c r="D229" t="s">
        <v>18</v>
      </c>
      <c r="E229" s="3">
        <v>9.9499999999999993</v>
      </c>
      <c r="F229" s="19">
        <v>242</v>
      </c>
      <c r="G229" s="3">
        <v>2.85</v>
      </c>
      <c r="H229" s="5" t="e" vm="15">
        <v>#VALUE!</v>
      </c>
      <c r="I229" t="e" cm="1" vm="16">
        <f t="array" ref="I229">_FV(H229,"Country/region",TRUE)</f>
        <v>#VALUE!</v>
      </c>
      <c r="J229" t="s">
        <v>14</v>
      </c>
      <c r="K229" t="s">
        <v>23</v>
      </c>
      <c r="L229" t="s">
        <v>21</v>
      </c>
      <c r="M229">
        <f>Table1[[#This Row],[Price]]*Table1[[#This Row],[Quantity]]</f>
        <v>2407.8999999999996</v>
      </c>
    </row>
    <row r="230" spans="2:13" x14ac:dyDescent="0.3">
      <c r="B230" s="3">
        <v>10687</v>
      </c>
      <c r="C230" s="4">
        <v>44919</v>
      </c>
      <c r="D230" t="s">
        <v>9</v>
      </c>
      <c r="E230" s="3">
        <v>3.49</v>
      </c>
      <c r="F230" s="19">
        <v>631</v>
      </c>
      <c r="G230" s="3">
        <v>0.88</v>
      </c>
      <c r="H230" t="e" vm="17">
        <v>#VALUE!</v>
      </c>
      <c r="I230" t="e" cm="1" vm="18">
        <f t="array" ref="I230">_FV(H230,"Country/region",TRUE)</f>
        <v>#VALUE!</v>
      </c>
      <c r="J230" t="s">
        <v>14</v>
      </c>
      <c r="K230" t="s">
        <v>23</v>
      </c>
      <c r="L230" t="s">
        <v>17</v>
      </c>
      <c r="M230">
        <f>Table1[[#This Row],[Price]]*Table1[[#This Row],[Quantity]]</f>
        <v>2202.19</v>
      </c>
    </row>
    <row r="231" spans="2:13" x14ac:dyDescent="0.3">
      <c r="B231" s="3">
        <v>10688</v>
      </c>
      <c r="C231" s="4">
        <v>44919</v>
      </c>
      <c r="D231" t="s">
        <v>12</v>
      </c>
      <c r="E231" s="3">
        <v>2.95</v>
      </c>
      <c r="F231" s="19">
        <v>678</v>
      </c>
      <c r="G231" s="3">
        <v>0.47</v>
      </c>
      <c r="H231" t="e" vm="17">
        <v>#VALUE!</v>
      </c>
      <c r="I231" t="e" cm="1" vm="18">
        <f t="array" ref="I231">_FV(H231,"Country/region",TRUE)</f>
        <v>#VALUE!</v>
      </c>
      <c r="J231" t="s">
        <v>14</v>
      </c>
      <c r="K231" t="s">
        <v>23</v>
      </c>
      <c r="L231" t="s">
        <v>17</v>
      </c>
      <c r="M231">
        <f>Table1[[#This Row],[Price]]*Table1[[#This Row],[Quantity]]</f>
        <v>2000.1000000000001</v>
      </c>
    </row>
    <row r="232" spans="2:13" x14ac:dyDescent="0.3">
      <c r="B232" s="3">
        <v>10689</v>
      </c>
      <c r="C232" s="4">
        <v>44919</v>
      </c>
      <c r="D232" t="s">
        <v>13</v>
      </c>
      <c r="E232" s="3">
        <v>4.99</v>
      </c>
      <c r="F232" s="19">
        <v>201</v>
      </c>
      <c r="G232" s="3">
        <v>2.25</v>
      </c>
      <c r="H232" t="e" vm="17">
        <v>#VALUE!</v>
      </c>
      <c r="I232" t="e" cm="1" vm="18">
        <f t="array" ref="I232">_FV(H232,"Country/region",TRUE)</f>
        <v>#VALUE!</v>
      </c>
      <c r="J232" t="s">
        <v>14</v>
      </c>
      <c r="K232" t="s">
        <v>23</v>
      </c>
      <c r="L232" t="s">
        <v>17</v>
      </c>
      <c r="M232">
        <f>Table1[[#This Row],[Price]]*Table1[[#This Row],[Quantity]]</f>
        <v>1002.99</v>
      </c>
    </row>
    <row r="233" spans="2:13" x14ac:dyDescent="0.3">
      <c r="B233" s="3">
        <v>10690</v>
      </c>
      <c r="C233" s="4">
        <v>44920</v>
      </c>
      <c r="D233" t="s">
        <v>15</v>
      </c>
      <c r="E233" s="3">
        <v>12.99</v>
      </c>
      <c r="F233" s="19">
        <v>678</v>
      </c>
      <c r="G233" s="3">
        <v>4.32</v>
      </c>
      <c r="H233" t="e" vm="17">
        <v>#VALUE!</v>
      </c>
      <c r="I233" t="e" cm="1" vm="18">
        <f t="array" ref="I233">_FV(H233,"Country/region",TRUE)</f>
        <v>#VALUE!</v>
      </c>
      <c r="J233" t="s">
        <v>14</v>
      </c>
      <c r="K233" t="s">
        <v>23</v>
      </c>
      <c r="L233" t="s">
        <v>17</v>
      </c>
      <c r="M233">
        <f>Table1[[#This Row],[Price]]*Table1[[#This Row],[Quantity]]</f>
        <v>8807.2199999999993</v>
      </c>
    </row>
    <row r="234" spans="2:13" x14ac:dyDescent="0.3">
      <c r="B234" s="3">
        <v>10691</v>
      </c>
      <c r="C234" s="4">
        <v>44920</v>
      </c>
      <c r="D234" t="s">
        <v>18</v>
      </c>
      <c r="E234" s="3">
        <v>9.9499999999999993</v>
      </c>
      <c r="F234" s="19">
        <v>262</v>
      </c>
      <c r="G234" s="3">
        <v>2.85</v>
      </c>
      <c r="H234" t="e" vm="17">
        <v>#VALUE!</v>
      </c>
      <c r="I234" t="e" cm="1" vm="18">
        <f t="array" ref="I234">_FV(H234,"Country/region",TRUE)</f>
        <v>#VALUE!</v>
      </c>
      <c r="J234" t="s">
        <v>14</v>
      </c>
      <c r="K234" t="s">
        <v>23</v>
      </c>
      <c r="L234" t="s">
        <v>17</v>
      </c>
      <c r="M234">
        <f>Table1[[#This Row],[Price]]*Table1[[#This Row],[Quantity]]</f>
        <v>2606.8999999999996</v>
      </c>
    </row>
    <row r="235" spans="2:13" x14ac:dyDescent="0.3">
      <c r="B235" s="3">
        <v>10692</v>
      </c>
      <c r="C235" s="4">
        <v>44920</v>
      </c>
      <c r="D235" t="s">
        <v>9</v>
      </c>
      <c r="E235" s="3">
        <v>3.49</v>
      </c>
      <c r="F235" s="19">
        <v>631</v>
      </c>
      <c r="G235" s="3">
        <v>0.88</v>
      </c>
      <c r="H235" t="e" vm="17">
        <v>#VALUE!</v>
      </c>
      <c r="I235" t="e" cm="1" vm="18">
        <f t="array" ref="I235">_FV(H235,"Country/region",TRUE)</f>
        <v>#VALUE!</v>
      </c>
      <c r="J235" t="s">
        <v>14</v>
      </c>
      <c r="K235" t="s">
        <v>23</v>
      </c>
      <c r="L235" t="s">
        <v>17</v>
      </c>
      <c r="M235">
        <f>Table1[[#This Row],[Price]]*Table1[[#This Row],[Quantity]]</f>
        <v>2202.19</v>
      </c>
    </row>
    <row r="236" spans="2:13" x14ac:dyDescent="0.3">
      <c r="B236" s="3">
        <v>10693</v>
      </c>
      <c r="C236" s="4">
        <v>44920</v>
      </c>
      <c r="D236" t="s">
        <v>12</v>
      </c>
      <c r="E236" s="3">
        <v>2.95</v>
      </c>
      <c r="F236" s="19">
        <v>678</v>
      </c>
      <c r="G236" s="3">
        <v>0.47</v>
      </c>
      <c r="H236" t="e" vm="17">
        <v>#VALUE!</v>
      </c>
      <c r="I236" t="e" cm="1" vm="18">
        <f t="array" ref="I236">_FV(H236,"Country/region",TRUE)</f>
        <v>#VALUE!</v>
      </c>
      <c r="J236" t="s">
        <v>14</v>
      </c>
      <c r="K236" t="s">
        <v>23</v>
      </c>
      <c r="L236" t="s">
        <v>17</v>
      </c>
      <c r="M236">
        <f>Table1[[#This Row],[Price]]*Table1[[#This Row],[Quantity]]</f>
        <v>2000.1000000000001</v>
      </c>
    </row>
    <row r="237" spans="2:13" x14ac:dyDescent="0.3">
      <c r="B237" s="3">
        <v>10694</v>
      </c>
      <c r="C237" s="4">
        <v>44920</v>
      </c>
      <c r="D237" t="s">
        <v>13</v>
      </c>
      <c r="E237" s="3">
        <v>4.99</v>
      </c>
      <c r="F237" s="19">
        <v>201</v>
      </c>
      <c r="G237" s="3">
        <v>2.25</v>
      </c>
      <c r="H237" t="e" vm="17">
        <v>#VALUE!</v>
      </c>
      <c r="I237" t="e" cm="1" vm="18">
        <f t="array" ref="I237">_FV(H237,"Country/region",TRUE)</f>
        <v>#VALUE!</v>
      </c>
      <c r="J237" t="s">
        <v>14</v>
      </c>
      <c r="K237" t="s">
        <v>23</v>
      </c>
      <c r="L237" t="s">
        <v>17</v>
      </c>
      <c r="M237">
        <f>Table1[[#This Row],[Price]]*Table1[[#This Row],[Quantity]]</f>
        <v>1002.99</v>
      </c>
    </row>
    <row r="238" spans="2:13" x14ac:dyDescent="0.3">
      <c r="B238" s="3">
        <v>10695</v>
      </c>
      <c r="C238" s="4">
        <v>44921</v>
      </c>
      <c r="D238" t="s">
        <v>15</v>
      </c>
      <c r="E238" s="3">
        <v>12.99</v>
      </c>
      <c r="F238" s="19">
        <v>693</v>
      </c>
      <c r="G238" s="3">
        <v>4.32</v>
      </c>
      <c r="H238" t="e" vm="17">
        <v>#VALUE!</v>
      </c>
      <c r="I238" t="e" cm="1" vm="18">
        <f t="array" ref="I238">_FV(H238,"Country/region",TRUE)</f>
        <v>#VALUE!</v>
      </c>
      <c r="J238" t="s">
        <v>14</v>
      </c>
      <c r="K238" t="s">
        <v>23</v>
      </c>
      <c r="L238" t="s">
        <v>17</v>
      </c>
      <c r="M238">
        <f>Table1[[#This Row],[Price]]*Table1[[#This Row],[Quantity]]</f>
        <v>9002.07</v>
      </c>
    </row>
    <row r="239" spans="2:13" x14ac:dyDescent="0.3">
      <c r="B239" s="3">
        <v>10696</v>
      </c>
      <c r="C239" s="4">
        <v>44921</v>
      </c>
      <c r="D239" t="s">
        <v>18</v>
      </c>
      <c r="E239" s="3">
        <v>9.9499999999999993</v>
      </c>
      <c r="F239" s="19">
        <v>282</v>
      </c>
      <c r="G239" s="3">
        <v>2.85</v>
      </c>
      <c r="H239" t="e" vm="17">
        <v>#VALUE!</v>
      </c>
      <c r="I239" t="e" cm="1" vm="18">
        <f t="array" ref="I239">_FV(H239,"Country/region",TRUE)</f>
        <v>#VALUE!</v>
      </c>
      <c r="J239" t="s">
        <v>14</v>
      </c>
      <c r="K239" t="s">
        <v>23</v>
      </c>
      <c r="L239" t="s">
        <v>17</v>
      </c>
      <c r="M239">
        <f>Table1[[#This Row],[Price]]*Table1[[#This Row],[Quantity]]</f>
        <v>2805.8999999999996</v>
      </c>
    </row>
    <row r="240" spans="2:13" x14ac:dyDescent="0.3">
      <c r="B240" s="3">
        <v>10697</v>
      </c>
      <c r="C240" s="4">
        <v>44921</v>
      </c>
      <c r="D240" t="s">
        <v>9</v>
      </c>
      <c r="E240" s="3">
        <v>3.49</v>
      </c>
      <c r="F240" s="19">
        <v>631</v>
      </c>
      <c r="G240" s="3">
        <v>0.88</v>
      </c>
      <c r="H240" t="e" vm="17">
        <v>#VALUE!</v>
      </c>
      <c r="I240" t="e" cm="1" vm="18">
        <f t="array" ref="I240">_FV(H240,"Country/region",TRUE)</f>
        <v>#VALUE!</v>
      </c>
      <c r="J240" t="s">
        <v>14</v>
      </c>
      <c r="K240" t="s">
        <v>23</v>
      </c>
      <c r="L240" t="s">
        <v>17</v>
      </c>
      <c r="M240">
        <f>Table1[[#This Row],[Price]]*Table1[[#This Row],[Quantity]]</f>
        <v>2202.19</v>
      </c>
    </row>
    <row r="241" spans="2:13" x14ac:dyDescent="0.3">
      <c r="B241" s="3">
        <v>10698</v>
      </c>
      <c r="C241" s="4">
        <v>44921</v>
      </c>
      <c r="D241" t="s">
        <v>12</v>
      </c>
      <c r="E241" s="3">
        <v>2.95</v>
      </c>
      <c r="F241" s="19">
        <v>678</v>
      </c>
      <c r="G241" s="3">
        <v>0.47</v>
      </c>
      <c r="H241" t="e" vm="17">
        <v>#VALUE!</v>
      </c>
      <c r="I241" t="e" cm="1" vm="18">
        <f t="array" ref="I241">_FV(H241,"Country/region",TRUE)</f>
        <v>#VALUE!</v>
      </c>
      <c r="J241" t="s">
        <v>14</v>
      </c>
      <c r="K241" t="s">
        <v>23</v>
      </c>
      <c r="L241" t="s">
        <v>17</v>
      </c>
      <c r="M241">
        <f>Table1[[#This Row],[Price]]*Table1[[#This Row],[Quantity]]</f>
        <v>2000.1000000000001</v>
      </c>
    </row>
    <row r="242" spans="2:13" x14ac:dyDescent="0.3">
      <c r="B242" s="3">
        <v>10699</v>
      </c>
      <c r="C242" s="4">
        <v>44921</v>
      </c>
      <c r="D242" t="s">
        <v>13</v>
      </c>
      <c r="E242" s="3">
        <v>4.99</v>
      </c>
      <c r="F242" s="19">
        <v>201</v>
      </c>
      <c r="G242" s="3">
        <v>2.25</v>
      </c>
      <c r="H242" t="e" vm="17">
        <v>#VALUE!</v>
      </c>
      <c r="I242" t="e" cm="1" vm="18">
        <f t="array" ref="I242">_FV(H242,"Country/region",TRUE)</f>
        <v>#VALUE!</v>
      </c>
      <c r="J242" t="s">
        <v>14</v>
      </c>
      <c r="K242" t="s">
        <v>23</v>
      </c>
      <c r="L242" t="s">
        <v>17</v>
      </c>
      <c r="M242">
        <f>Table1[[#This Row],[Price]]*Table1[[#This Row],[Quantity]]</f>
        <v>1002.99</v>
      </c>
    </row>
    <row r="243" spans="2:13" x14ac:dyDescent="0.3">
      <c r="B243" s="3">
        <v>10700</v>
      </c>
      <c r="C243" s="4">
        <v>44922</v>
      </c>
      <c r="D243" t="s">
        <v>15</v>
      </c>
      <c r="E243" s="3">
        <v>12.99</v>
      </c>
      <c r="F243" s="19">
        <v>693</v>
      </c>
      <c r="G243" s="3">
        <v>4.32</v>
      </c>
      <c r="H243" t="e" vm="17">
        <v>#VALUE!</v>
      </c>
      <c r="I243" t="e" cm="1" vm="18">
        <f t="array" ref="I243">_FV(H243,"Country/region",TRUE)</f>
        <v>#VALUE!</v>
      </c>
      <c r="J243" t="s">
        <v>14</v>
      </c>
      <c r="K243" t="s">
        <v>23</v>
      </c>
      <c r="L243" t="s">
        <v>17</v>
      </c>
      <c r="M243">
        <f>Table1[[#This Row],[Price]]*Table1[[#This Row],[Quantity]]</f>
        <v>9002.07</v>
      </c>
    </row>
    <row r="244" spans="2:13" x14ac:dyDescent="0.3">
      <c r="B244" s="3">
        <v>10701</v>
      </c>
      <c r="C244" s="4">
        <v>44922</v>
      </c>
      <c r="D244" t="s">
        <v>18</v>
      </c>
      <c r="E244" s="3">
        <v>9.9499999999999993</v>
      </c>
      <c r="F244" s="19">
        <v>282</v>
      </c>
      <c r="G244" s="3">
        <v>2.85</v>
      </c>
      <c r="H244" t="e" vm="17">
        <v>#VALUE!</v>
      </c>
      <c r="I244" t="e" cm="1" vm="18">
        <f t="array" ref="I244">_FV(H244,"Country/region",TRUE)</f>
        <v>#VALUE!</v>
      </c>
      <c r="J244" t="s">
        <v>14</v>
      </c>
      <c r="K244" t="s">
        <v>23</v>
      </c>
      <c r="L244" t="s">
        <v>17</v>
      </c>
      <c r="M244">
        <f>Table1[[#This Row],[Price]]*Table1[[#This Row],[Quantity]]</f>
        <v>2805.8999999999996</v>
      </c>
    </row>
    <row r="245" spans="2:13" x14ac:dyDescent="0.3">
      <c r="B245" s="3">
        <v>10702</v>
      </c>
      <c r="C245" s="4">
        <v>44922</v>
      </c>
      <c r="D245" t="s">
        <v>9</v>
      </c>
      <c r="E245" s="3">
        <v>3.49</v>
      </c>
      <c r="F245" s="19">
        <v>631</v>
      </c>
      <c r="G245" s="3">
        <v>0.88</v>
      </c>
      <c r="H245" t="e" vm="17">
        <v>#VALUE!</v>
      </c>
      <c r="I245" t="e" cm="1" vm="18">
        <f t="array" ref="I245">_FV(H245,"Country/region",TRUE)</f>
        <v>#VALUE!</v>
      </c>
      <c r="J245" t="s">
        <v>14</v>
      </c>
      <c r="K245" t="s">
        <v>23</v>
      </c>
      <c r="L245" t="s">
        <v>17</v>
      </c>
      <c r="M245">
        <f>Table1[[#This Row],[Price]]*Table1[[#This Row],[Quantity]]</f>
        <v>2202.19</v>
      </c>
    </row>
    <row r="246" spans="2:13" x14ac:dyDescent="0.3">
      <c r="B246" s="3">
        <v>10703</v>
      </c>
      <c r="C246" s="4">
        <v>44922</v>
      </c>
      <c r="D246" t="s">
        <v>12</v>
      </c>
      <c r="E246" s="3">
        <v>2.95</v>
      </c>
      <c r="F246" s="19">
        <v>678</v>
      </c>
      <c r="G246" s="3">
        <v>0.47</v>
      </c>
      <c r="H246" t="e" vm="17">
        <v>#VALUE!</v>
      </c>
      <c r="I246" t="e" cm="1" vm="18">
        <f t="array" ref="I246">_FV(H246,"Country/region",TRUE)</f>
        <v>#VALUE!</v>
      </c>
      <c r="J246" t="s">
        <v>14</v>
      </c>
      <c r="K246" t="s">
        <v>11</v>
      </c>
      <c r="L246" t="s">
        <v>17</v>
      </c>
      <c r="M246">
        <f>Table1[[#This Row],[Price]]*Table1[[#This Row],[Quantity]]</f>
        <v>2000.1000000000001</v>
      </c>
    </row>
    <row r="247" spans="2:13" x14ac:dyDescent="0.3">
      <c r="B247" s="3">
        <v>10704</v>
      </c>
      <c r="C247" s="4">
        <v>44922</v>
      </c>
      <c r="D247" t="s">
        <v>13</v>
      </c>
      <c r="E247" s="3">
        <v>4.99</v>
      </c>
      <c r="F247" s="19">
        <v>201</v>
      </c>
      <c r="G247" s="3">
        <v>2.25</v>
      </c>
      <c r="H247" t="e" vm="17">
        <v>#VALUE!</v>
      </c>
      <c r="I247" t="e" cm="1" vm="18">
        <f t="array" ref="I247">_FV(H247,"Country/region",TRUE)</f>
        <v>#VALUE!</v>
      </c>
      <c r="J247" t="s">
        <v>22</v>
      </c>
      <c r="K247" t="s">
        <v>11</v>
      </c>
      <c r="L247" t="s">
        <v>17</v>
      </c>
      <c r="M247">
        <f>Table1[[#This Row],[Price]]*Table1[[#This Row],[Quantity]]</f>
        <v>1002.99</v>
      </c>
    </row>
    <row r="248" spans="2:13" x14ac:dyDescent="0.3">
      <c r="B248" s="3">
        <v>10705</v>
      </c>
      <c r="C248" s="4">
        <v>44923</v>
      </c>
      <c r="D248" t="s">
        <v>15</v>
      </c>
      <c r="E248" s="3">
        <v>12.99</v>
      </c>
      <c r="F248" s="19">
        <v>724</v>
      </c>
      <c r="G248" s="3">
        <v>4.32</v>
      </c>
      <c r="H248" t="e" vm="17">
        <v>#VALUE!</v>
      </c>
      <c r="I248" t="e" cm="1" vm="18">
        <f t="array" ref="I248">_FV(H248,"Country/region",TRUE)</f>
        <v>#VALUE!</v>
      </c>
      <c r="J248" t="s">
        <v>22</v>
      </c>
      <c r="K248" t="s">
        <v>11</v>
      </c>
      <c r="L248" t="s">
        <v>17</v>
      </c>
      <c r="M248">
        <f>Table1[[#This Row],[Price]]*Table1[[#This Row],[Quantity]]</f>
        <v>9404.76</v>
      </c>
    </row>
    <row r="249" spans="2:13" x14ac:dyDescent="0.3">
      <c r="B249" s="3">
        <v>10706</v>
      </c>
      <c r="C249" s="4">
        <v>44923</v>
      </c>
      <c r="D249" t="s">
        <v>18</v>
      </c>
      <c r="E249" s="3">
        <v>9.9499999999999993</v>
      </c>
      <c r="F249" s="19">
        <v>302</v>
      </c>
      <c r="G249" s="3">
        <v>2.85</v>
      </c>
      <c r="H249" t="e" vm="17">
        <v>#VALUE!</v>
      </c>
      <c r="I249" t="e" cm="1" vm="18">
        <f t="array" ref="I249">_FV(H249,"Country/region",TRUE)</f>
        <v>#VALUE!</v>
      </c>
      <c r="J249" t="s">
        <v>22</v>
      </c>
      <c r="K249" t="s">
        <v>11</v>
      </c>
      <c r="L249" t="s">
        <v>17</v>
      </c>
      <c r="M249">
        <f>Table1[[#This Row],[Price]]*Table1[[#This Row],[Quantity]]</f>
        <v>3004.8999999999996</v>
      </c>
    </row>
    <row r="250" spans="2:13" x14ac:dyDescent="0.3">
      <c r="B250" s="3">
        <v>10707</v>
      </c>
      <c r="C250" s="4">
        <v>44923</v>
      </c>
      <c r="D250" t="s">
        <v>9</v>
      </c>
      <c r="E250" s="3">
        <v>3.49</v>
      </c>
      <c r="F250" s="19">
        <v>631</v>
      </c>
      <c r="G250" s="3">
        <v>0.88</v>
      </c>
      <c r="H250" t="e" vm="17">
        <v>#VALUE!</v>
      </c>
      <c r="I250" t="e" cm="1" vm="18">
        <f t="array" ref="I250">_FV(H250,"Country/region",TRUE)</f>
        <v>#VALUE!</v>
      </c>
      <c r="J250" t="s">
        <v>22</v>
      </c>
      <c r="K250" t="s">
        <v>11</v>
      </c>
      <c r="L250" t="s">
        <v>17</v>
      </c>
      <c r="M250">
        <f>Table1[[#This Row],[Price]]*Table1[[#This Row],[Quantity]]</f>
        <v>2202.19</v>
      </c>
    </row>
    <row r="251" spans="2:13" x14ac:dyDescent="0.3">
      <c r="B251" s="3">
        <v>10708</v>
      </c>
      <c r="C251" s="4">
        <v>44923</v>
      </c>
      <c r="D251" t="s">
        <v>12</v>
      </c>
      <c r="E251" s="3">
        <v>2.95</v>
      </c>
      <c r="F251" s="19">
        <v>678</v>
      </c>
      <c r="G251" s="3">
        <v>0.47</v>
      </c>
      <c r="H251" t="e" vm="17">
        <v>#VALUE!</v>
      </c>
      <c r="I251" t="e" cm="1" vm="18">
        <f t="array" ref="I251">_FV(H251,"Country/region",TRUE)</f>
        <v>#VALUE!</v>
      </c>
      <c r="J251" t="s">
        <v>22</v>
      </c>
      <c r="K251" t="s">
        <v>11</v>
      </c>
      <c r="L251" t="s">
        <v>17</v>
      </c>
      <c r="M251">
        <f>Table1[[#This Row],[Price]]*Table1[[#This Row],[Quantity]]</f>
        <v>2000.1000000000001</v>
      </c>
    </row>
    <row r="252" spans="2:13" x14ac:dyDescent="0.3">
      <c r="B252" s="3">
        <v>10709</v>
      </c>
      <c r="C252" s="4">
        <v>44923</v>
      </c>
      <c r="D252" t="s">
        <v>13</v>
      </c>
      <c r="E252" s="3">
        <v>4.99</v>
      </c>
      <c r="F252" s="19">
        <v>201</v>
      </c>
      <c r="G252" s="3">
        <v>2.25</v>
      </c>
      <c r="H252" t="e" vm="17">
        <v>#VALUE!</v>
      </c>
      <c r="I252" t="e" cm="1" vm="18">
        <f t="array" ref="I252">_FV(H252,"Country/region",TRUE)</f>
        <v>#VALUE!</v>
      </c>
      <c r="J252" t="s">
        <v>22</v>
      </c>
      <c r="K252" t="s">
        <v>11</v>
      </c>
      <c r="L252" t="s">
        <v>17</v>
      </c>
      <c r="M252">
        <f>Table1[[#This Row],[Price]]*Table1[[#This Row],[Quantity]]</f>
        <v>1002.99</v>
      </c>
    </row>
    <row r="253" spans="2:13" x14ac:dyDescent="0.3">
      <c r="B253" s="3">
        <v>10710</v>
      </c>
      <c r="C253" s="4">
        <v>44924</v>
      </c>
      <c r="D253" t="s">
        <v>15</v>
      </c>
      <c r="E253" s="3">
        <v>12.99</v>
      </c>
      <c r="F253" s="19">
        <v>755</v>
      </c>
      <c r="G253" s="3">
        <v>4.32</v>
      </c>
      <c r="H253" t="e" vm="17">
        <v>#VALUE!</v>
      </c>
      <c r="I253" t="e" cm="1" vm="18">
        <f t="array" ref="I253">_FV(H253,"Country/region",TRUE)</f>
        <v>#VALUE!</v>
      </c>
      <c r="J253" t="s">
        <v>22</v>
      </c>
      <c r="K253" t="s">
        <v>11</v>
      </c>
      <c r="L253" t="s">
        <v>17</v>
      </c>
      <c r="M253">
        <f>Table1[[#This Row],[Price]]*Table1[[#This Row],[Quantity]]</f>
        <v>9807.4500000000007</v>
      </c>
    </row>
    <row r="254" spans="2:13" x14ac:dyDescent="0.3">
      <c r="B254" s="3">
        <v>10711</v>
      </c>
      <c r="C254" s="4">
        <v>44924</v>
      </c>
      <c r="D254" t="s">
        <v>18</v>
      </c>
      <c r="E254" s="3">
        <v>9.9499999999999993</v>
      </c>
      <c r="F254" s="19">
        <v>282</v>
      </c>
      <c r="G254" s="3">
        <v>2.85</v>
      </c>
      <c r="H254" t="e" vm="17">
        <v>#VALUE!</v>
      </c>
      <c r="I254" t="e" cm="1" vm="18">
        <f t="array" ref="I254">_FV(H254,"Country/region",TRUE)</f>
        <v>#VALUE!</v>
      </c>
      <c r="J254" t="s">
        <v>22</v>
      </c>
      <c r="K254" t="s">
        <v>11</v>
      </c>
      <c r="L254" t="s">
        <v>17</v>
      </c>
      <c r="M254">
        <f>Table1[[#This Row],[Price]]*Table1[[#This Row],[Quantity]]</f>
        <v>2805.8999999999996</v>
      </c>
    </row>
    <row r="255" spans="2:13" x14ac:dyDescent="0.3">
      <c r="B255" s="3">
        <v>10712</v>
      </c>
      <c r="C255" s="4">
        <v>44924</v>
      </c>
      <c r="D255" t="s">
        <v>9</v>
      </c>
      <c r="E255" s="3">
        <v>3.49</v>
      </c>
      <c r="F255" s="19">
        <v>631</v>
      </c>
      <c r="G255" s="3">
        <v>0.88</v>
      </c>
      <c r="H255" t="e" vm="17">
        <v>#VALUE!</v>
      </c>
      <c r="I255" t="e" cm="1" vm="18">
        <f t="array" ref="I255">_FV(H255,"Country/region",TRUE)</f>
        <v>#VALUE!</v>
      </c>
      <c r="J255" t="s">
        <v>22</v>
      </c>
      <c r="K255" t="s">
        <v>11</v>
      </c>
      <c r="L255" t="s">
        <v>17</v>
      </c>
      <c r="M255">
        <f>Table1[[#This Row],[Price]]*Table1[[#This Row],[Quantity]]</f>
        <v>2202.19</v>
      </c>
    </row>
    <row r="256" spans="2:13" x14ac:dyDescent="0.3">
      <c r="B256" s="3">
        <v>10713</v>
      </c>
      <c r="C256" s="4">
        <v>44924</v>
      </c>
      <c r="D256" t="s">
        <v>12</v>
      </c>
      <c r="E256" s="3">
        <v>2.95</v>
      </c>
      <c r="F256" s="19">
        <v>678</v>
      </c>
      <c r="G256" s="3">
        <v>0.47</v>
      </c>
      <c r="H256" t="e" vm="17">
        <v>#VALUE!</v>
      </c>
      <c r="I256" t="e" cm="1" vm="18">
        <f t="array" ref="I256">_FV(H256,"Country/region",TRUE)</f>
        <v>#VALUE!</v>
      </c>
      <c r="J256" t="s">
        <v>22</v>
      </c>
      <c r="K256" t="s">
        <v>11</v>
      </c>
      <c r="L256" t="s">
        <v>17</v>
      </c>
      <c r="M256">
        <f>Table1[[#This Row],[Price]]*Table1[[#This Row],[Quantity]]</f>
        <v>2000.1000000000001</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H50"/>
  <sheetViews>
    <sheetView showGridLines="0" topLeftCell="B4" workbookViewId="0">
      <selection activeCell="H26" sqref="H26"/>
    </sheetView>
  </sheetViews>
  <sheetFormatPr defaultColWidth="10.69921875" defaultRowHeight="15.6" x14ac:dyDescent="0.3"/>
  <cols>
    <col min="1" max="1" width="4.19921875" customWidth="1"/>
    <col min="3" max="3" width="19.296875" bestFit="1" customWidth="1"/>
    <col min="4" max="4" width="9.8984375" bestFit="1" customWidth="1"/>
    <col min="5" max="5" width="9.69921875" bestFit="1" customWidth="1"/>
    <col min="6" max="6" width="11.59765625" bestFit="1" customWidth="1"/>
    <col min="7" max="7" width="17.796875" bestFit="1" customWidth="1"/>
    <col min="8" max="8" width="9.796875" bestFit="1" customWidth="1"/>
    <col min="9" max="9" width="18.69921875" bestFit="1" customWidth="1"/>
    <col min="10" max="10" width="11.796875" bestFit="1" customWidth="1"/>
    <col min="11" max="11" width="12.19921875" bestFit="1" customWidth="1"/>
    <col min="12" max="12" width="9.69921875" bestFit="1" customWidth="1"/>
    <col min="13" max="13" width="17.09765625" bestFit="1" customWidth="1"/>
    <col min="14" max="14" width="18.69921875" bestFit="1" customWidth="1"/>
    <col min="15" max="15" width="15.19921875" bestFit="1" customWidth="1"/>
    <col min="16" max="16" width="18.69921875" bestFit="1" customWidth="1"/>
    <col min="17" max="17" width="15.19921875" bestFit="1" customWidth="1"/>
    <col min="18" max="18" width="24.296875" bestFit="1" customWidth="1"/>
    <col min="19" max="19" width="20.796875" bestFit="1" customWidth="1"/>
    <col min="20" max="20" width="18" bestFit="1" customWidth="1"/>
    <col min="21" max="21" width="12.69921875" bestFit="1" customWidth="1"/>
    <col min="22" max="22" width="11.796875" bestFit="1" customWidth="1"/>
    <col min="23" max="23" width="12.19921875" bestFit="1" customWidth="1"/>
    <col min="24" max="24" width="9.69921875" bestFit="1" customWidth="1"/>
    <col min="25" max="25" width="23.8984375" bestFit="1" customWidth="1"/>
    <col min="26" max="26" width="10.59765625" bestFit="1" customWidth="1"/>
    <col min="27" max="27" width="12.69921875" bestFit="1" customWidth="1"/>
    <col min="28" max="28" width="11.796875" bestFit="1" customWidth="1"/>
    <col min="29" max="29" width="12.19921875" bestFit="1" customWidth="1"/>
    <col min="30" max="30" width="9.69921875" bestFit="1" customWidth="1"/>
    <col min="31" max="31" width="10.59765625" bestFit="1" customWidth="1"/>
    <col min="32" max="32" width="12.5" bestFit="1" customWidth="1"/>
    <col min="33" max="33" width="12.69921875" bestFit="1" customWidth="1"/>
    <col min="34" max="34" width="11.796875" bestFit="1" customWidth="1"/>
    <col min="35" max="35" width="12.19921875" bestFit="1" customWidth="1"/>
    <col min="36" max="36" width="9.69921875" bestFit="1" customWidth="1"/>
    <col min="37" max="37" width="18.5" bestFit="1" customWidth="1"/>
    <col min="38" max="38" width="17.09765625" bestFit="1" customWidth="1"/>
  </cols>
  <sheetData>
    <row r="2" spans="2:8" x14ac:dyDescent="0.3">
      <c r="B2" s="6" t="s">
        <v>25</v>
      </c>
      <c r="C2" s="6"/>
      <c r="D2" s="6"/>
      <c r="E2" s="6"/>
      <c r="F2" s="6"/>
    </row>
    <row r="4" spans="2:8" x14ac:dyDescent="0.3">
      <c r="B4" s="7" t="s">
        <v>26</v>
      </c>
      <c r="C4" s="8"/>
      <c r="D4" s="8"/>
      <c r="E4" s="8"/>
      <c r="F4" s="8"/>
    </row>
    <row r="5" spans="2:8" x14ac:dyDescent="0.3">
      <c r="B5" s="9"/>
      <c r="C5" s="10"/>
      <c r="D5" s="10"/>
      <c r="E5" s="10"/>
      <c r="F5" s="10"/>
    </row>
    <row r="6" spans="2:8" x14ac:dyDescent="0.3">
      <c r="B6" s="7" t="s">
        <v>27</v>
      </c>
      <c r="C6" s="8"/>
      <c r="D6" s="8"/>
      <c r="E6" s="8"/>
      <c r="F6" s="8"/>
    </row>
    <row r="7" spans="2:8" x14ac:dyDescent="0.3">
      <c r="B7" s="9"/>
      <c r="C7" s="10"/>
      <c r="D7" s="10"/>
      <c r="E7" s="10"/>
      <c r="F7" s="10"/>
    </row>
    <row r="8" spans="2:8" x14ac:dyDescent="0.3">
      <c r="B8" s="7" t="s">
        <v>28</v>
      </c>
      <c r="C8" s="8"/>
      <c r="D8" s="8"/>
      <c r="E8" s="8"/>
      <c r="F8" s="8"/>
    </row>
    <row r="13" spans="2:8" x14ac:dyDescent="0.3">
      <c r="D13" t="s">
        <v>57</v>
      </c>
      <c r="E13" t="s">
        <v>56</v>
      </c>
      <c r="H13" t="s">
        <v>56</v>
      </c>
    </row>
    <row r="14" spans="2:8" x14ac:dyDescent="0.3">
      <c r="C14" s="14" t="s">
        <v>58</v>
      </c>
      <c r="G14" s="14" t="s">
        <v>12</v>
      </c>
      <c r="H14">
        <v>35666</v>
      </c>
    </row>
    <row r="15" spans="2:8" x14ac:dyDescent="0.3">
      <c r="C15" s="9" t="s">
        <v>12</v>
      </c>
      <c r="G15" s="14" t="s">
        <v>9</v>
      </c>
      <c r="H15">
        <v>32067</v>
      </c>
    </row>
    <row r="16" spans="2:8" x14ac:dyDescent="0.3">
      <c r="C16" s="9" t="s">
        <v>15</v>
      </c>
      <c r="G16" s="14" t="s">
        <v>15</v>
      </c>
      <c r="H16">
        <v>29572</v>
      </c>
    </row>
    <row r="17" spans="3:8" x14ac:dyDescent="0.3">
      <c r="C17" s="9" t="s">
        <v>18</v>
      </c>
      <c r="G17" s="14" t="s">
        <v>18</v>
      </c>
      <c r="H17">
        <v>11184</v>
      </c>
    </row>
    <row r="18" spans="3:8" x14ac:dyDescent="0.3">
      <c r="C18" s="9" t="s">
        <v>9</v>
      </c>
      <c r="G18" s="14" t="s">
        <v>13</v>
      </c>
      <c r="H18">
        <v>10050</v>
      </c>
    </row>
    <row r="19" spans="3:8" x14ac:dyDescent="0.3">
      <c r="C19" s="9" t="s">
        <v>13</v>
      </c>
      <c r="G19" s="14" t="s">
        <v>54</v>
      </c>
      <c r="H19">
        <v>118539</v>
      </c>
    </row>
    <row r="20" spans="3:8" x14ac:dyDescent="0.3">
      <c r="C20" s="14" t="s">
        <v>21</v>
      </c>
      <c r="D20">
        <v>283555.35999999993</v>
      </c>
      <c r="E20">
        <v>37196</v>
      </c>
    </row>
    <row r="21" spans="3:8" x14ac:dyDescent="0.3">
      <c r="C21" s="9" t="s">
        <v>12</v>
      </c>
      <c r="D21">
        <v>56129.559999999969</v>
      </c>
      <c r="E21">
        <v>12070</v>
      </c>
    </row>
    <row r="22" spans="3:8" x14ac:dyDescent="0.3">
      <c r="C22" s="9" t="s">
        <v>15</v>
      </c>
      <c r="D22">
        <v>123561.93</v>
      </c>
      <c r="E22">
        <v>8907</v>
      </c>
      <c r="H22" t="s">
        <v>55</v>
      </c>
    </row>
    <row r="23" spans="3:8" x14ac:dyDescent="0.3">
      <c r="C23" s="9" t="s">
        <v>18</v>
      </c>
      <c r="D23">
        <v>36792.700000000012</v>
      </c>
      <c r="E23">
        <v>3310</v>
      </c>
      <c r="G23" s="14" t="s">
        <v>16</v>
      </c>
      <c r="H23" s="23">
        <v>0.49722371940738486</v>
      </c>
    </row>
    <row r="24" spans="3:8" x14ac:dyDescent="0.3">
      <c r="C24" s="9" t="s">
        <v>9</v>
      </c>
      <c r="D24">
        <v>47716.880000000005</v>
      </c>
      <c r="E24">
        <v>9693</v>
      </c>
      <c r="G24" s="14" t="s">
        <v>23</v>
      </c>
      <c r="H24" s="23">
        <v>0.29489445925088847</v>
      </c>
    </row>
    <row r="25" spans="3:8" x14ac:dyDescent="0.3">
      <c r="C25" s="9" t="s">
        <v>13</v>
      </c>
      <c r="D25">
        <v>19354.29</v>
      </c>
      <c r="E25">
        <v>3216</v>
      </c>
      <c r="G25" s="14" t="s">
        <v>11</v>
      </c>
      <c r="H25" s="23">
        <v>0.20788182134172675</v>
      </c>
    </row>
    <row r="26" spans="3:8" x14ac:dyDescent="0.3">
      <c r="C26" s="14" t="s">
        <v>20</v>
      </c>
      <c r="D26">
        <v>136430.04</v>
      </c>
      <c r="E26">
        <v>20472</v>
      </c>
      <c r="G26" s="14" t="s">
        <v>54</v>
      </c>
      <c r="H26" s="23">
        <v>1</v>
      </c>
    </row>
    <row r="27" spans="3:8" x14ac:dyDescent="0.3">
      <c r="C27" s="9" t="s">
        <v>12</v>
      </c>
      <c r="D27">
        <v>18402.100000000002</v>
      </c>
      <c r="E27">
        <v>6238</v>
      </c>
    </row>
    <row r="28" spans="3:8" x14ac:dyDescent="0.3">
      <c r="C28" s="9" t="s">
        <v>15</v>
      </c>
      <c r="D28">
        <v>73692.27</v>
      </c>
      <c r="E28">
        <v>5673</v>
      </c>
    </row>
    <row r="29" spans="3:8" x14ac:dyDescent="0.3">
      <c r="C29" s="9" t="s">
        <v>18</v>
      </c>
      <c r="D29">
        <v>18089.099999999999</v>
      </c>
      <c r="E29">
        <v>1818</v>
      </c>
    </row>
    <row r="30" spans="3:8" x14ac:dyDescent="0.3">
      <c r="C30" s="9" t="s">
        <v>9</v>
      </c>
      <c r="D30">
        <v>17219.660000000003</v>
      </c>
      <c r="E30">
        <v>4934</v>
      </c>
    </row>
    <row r="31" spans="3:8" x14ac:dyDescent="0.3">
      <c r="C31" s="9" t="s">
        <v>13</v>
      </c>
      <c r="D31">
        <v>9026.91</v>
      </c>
      <c r="E31">
        <v>1809</v>
      </c>
    </row>
    <row r="32" spans="3:8" x14ac:dyDescent="0.3">
      <c r="C32" s="14" t="s">
        <v>19</v>
      </c>
      <c r="D32">
        <v>79927.900000000009</v>
      </c>
      <c r="E32">
        <v>12508</v>
      </c>
    </row>
    <row r="33" spans="3:5" x14ac:dyDescent="0.3">
      <c r="C33" s="9" t="s">
        <v>12</v>
      </c>
      <c r="D33">
        <v>10401.700000000001</v>
      </c>
      <c r="E33">
        <v>3526</v>
      </c>
    </row>
    <row r="34" spans="3:5" x14ac:dyDescent="0.3">
      <c r="C34" s="9" t="s">
        <v>15</v>
      </c>
      <c r="D34">
        <v>39437.640000000007</v>
      </c>
      <c r="E34">
        <v>3036</v>
      </c>
    </row>
    <row r="35" spans="3:5" x14ac:dyDescent="0.3">
      <c r="C35" s="9" t="s">
        <v>18</v>
      </c>
      <c r="D35">
        <v>12059.4</v>
      </c>
      <c r="E35">
        <v>1212</v>
      </c>
    </row>
    <row r="36" spans="3:5" x14ac:dyDescent="0.3">
      <c r="C36" s="9" t="s">
        <v>9</v>
      </c>
      <c r="D36">
        <v>13014.210000000003</v>
      </c>
      <c r="E36">
        <v>3729</v>
      </c>
    </row>
    <row r="37" spans="3:5" x14ac:dyDescent="0.3">
      <c r="C37" s="9" t="s">
        <v>13</v>
      </c>
      <c r="D37">
        <v>5014.95</v>
      </c>
      <c r="E37">
        <v>1005</v>
      </c>
    </row>
    <row r="38" spans="3:5" x14ac:dyDescent="0.3">
      <c r="C38" s="14" t="s">
        <v>24</v>
      </c>
      <c r="D38">
        <v>211522.88</v>
      </c>
      <c r="E38">
        <v>33578</v>
      </c>
    </row>
    <row r="39" spans="3:5" x14ac:dyDescent="0.3">
      <c r="C39" s="9" t="s">
        <v>12</v>
      </c>
      <c r="D39">
        <v>28803.799999999996</v>
      </c>
      <c r="E39">
        <v>9764</v>
      </c>
    </row>
    <row r="40" spans="3:5" x14ac:dyDescent="0.3">
      <c r="C40" s="9" t="s">
        <v>15</v>
      </c>
      <c r="D40">
        <v>101880.57</v>
      </c>
      <c r="E40">
        <v>7843</v>
      </c>
    </row>
    <row r="41" spans="3:5" x14ac:dyDescent="0.3">
      <c r="C41" s="9" t="s">
        <v>18</v>
      </c>
      <c r="D41">
        <v>32158.400000000009</v>
      </c>
      <c r="E41">
        <v>3232</v>
      </c>
    </row>
    <row r="42" spans="3:5" x14ac:dyDescent="0.3">
      <c r="C42" s="9" t="s">
        <v>9</v>
      </c>
      <c r="D42">
        <v>34638.25</v>
      </c>
      <c r="E42">
        <v>9925</v>
      </c>
    </row>
    <row r="43" spans="3:5" x14ac:dyDescent="0.3">
      <c r="C43" s="9" t="s">
        <v>13</v>
      </c>
      <c r="D43">
        <v>14041.859999999999</v>
      </c>
      <c r="E43">
        <v>2814</v>
      </c>
    </row>
    <row r="44" spans="3:5" x14ac:dyDescent="0.3">
      <c r="C44" s="14" t="s">
        <v>17</v>
      </c>
      <c r="D44">
        <v>100698.95000000001</v>
      </c>
      <c r="E44">
        <v>14785</v>
      </c>
    </row>
    <row r="45" spans="3:5" x14ac:dyDescent="0.3">
      <c r="C45" s="9" t="s">
        <v>12</v>
      </c>
      <c r="D45">
        <v>12000.6</v>
      </c>
      <c r="E45">
        <v>4068</v>
      </c>
    </row>
    <row r="46" spans="3:5" x14ac:dyDescent="0.3">
      <c r="C46" s="9" t="s">
        <v>15</v>
      </c>
      <c r="D46">
        <v>53427.87000000001</v>
      </c>
      <c r="E46">
        <v>4113</v>
      </c>
    </row>
    <row r="47" spans="3:5" x14ac:dyDescent="0.3">
      <c r="C47" s="9" t="s">
        <v>18</v>
      </c>
      <c r="D47">
        <v>16039.399999999998</v>
      </c>
      <c r="E47">
        <v>1612</v>
      </c>
    </row>
    <row r="48" spans="3:5" x14ac:dyDescent="0.3">
      <c r="C48" s="9" t="s">
        <v>9</v>
      </c>
      <c r="D48">
        <v>13213.140000000001</v>
      </c>
      <c r="E48">
        <v>3786</v>
      </c>
    </row>
    <row r="49" spans="3:5" x14ac:dyDescent="0.3">
      <c r="C49" s="9" t="s">
        <v>13</v>
      </c>
      <c r="D49">
        <v>6017.94</v>
      </c>
      <c r="E49">
        <v>1206</v>
      </c>
    </row>
    <row r="50" spans="3:5" x14ac:dyDescent="0.3">
      <c r="C50" s="14" t="s">
        <v>54</v>
      </c>
      <c r="D50">
        <v>812135.12999999989</v>
      </c>
      <c r="E50">
        <v>118539</v>
      </c>
    </row>
  </sheetData>
  <conditionalFormatting pivot="1" sqref="H14:H18">
    <cfRule type="dataBar" priority="3">
      <dataBar>
        <cfvo type="min"/>
        <cfvo type="max"/>
        <color rgb="FFFFB628"/>
      </dataBar>
      <extLst>
        <ext xmlns:x14="http://schemas.microsoft.com/office/spreadsheetml/2009/9/main" uri="{B025F937-C7B1-47D3-B67F-A62EFF666E3E}">
          <x14:id>{BF202DF3-7A55-412A-B633-9E4822B25E30}</x14:id>
        </ext>
      </extLst>
    </cfRule>
  </conditionalFormatting>
  <conditionalFormatting pivot="1" sqref="H23:H25">
    <cfRule type="dataBar" priority="1">
      <dataBar>
        <cfvo type="min"/>
        <cfvo type="max"/>
        <color rgb="FFFFB628"/>
      </dataBar>
      <extLst>
        <ext xmlns:x14="http://schemas.microsoft.com/office/spreadsheetml/2009/9/main" uri="{B025F937-C7B1-47D3-B67F-A62EFF666E3E}">
          <x14:id>{2BDEE771-1416-45AB-941B-0114166CA4ED}</x14:id>
        </ext>
      </extLst>
    </cfRule>
  </conditionalFormatting>
  <pageMargins left="0.7" right="0.7" top="0.75" bottom="0.75" header="0.3" footer="0.3"/>
  <pageSetup paperSize="9" orientation="portrait" horizontalDpi="360" verticalDpi="360" r:id="rId4"/>
  <extLst>
    <ext xmlns:x14="http://schemas.microsoft.com/office/spreadsheetml/2009/9/main" uri="{78C0D931-6437-407d-A8EE-F0AAD7539E65}">
      <x14:conditionalFormattings>
        <x14:conditionalFormatting xmlns:xm="http://schemas.microsoft.com/office/excel/2006/main" pivot="1">
          <x14:cfRule type="dataBar" id="{BF202DF3-7A55-412A-B633-9E4822B25E30}">
            <x14:dataBar minLength="0" maxLength="100" border="1" negativeBarBorderColorSameAsPositive="0">
              <x14:cfvo type="autoMin"/>
              <x14:cfvo type="autoMax"/>
              <x14:borderColor rgb="FFFFB628"/>
              <x14:negativeFillColor rgb="FFFF0000"/>
              <x14:negativeBorderColor rgb="FFFF0000"/>
              <x14:axisColor rgb="FF000000"/>
            </x14:dataBar>
          </x14:cfRule>
          <xm:sqref>H14:H18</xm:sqref>
        </x14:conditionalFormatting>
        <x14:conditionalFormatting xmlns:xm="http://schemas.microsoft.com/office/excel/2006/main" pivot="1">
          <x14:cfRule type="dataBar" id="{2BDEE771-1416-45AB-941B-0114166CA4ED}">
            <x14:dataBar minLength="0" maxLength="100" border="1" negativeBarBorderColorSameAsPositive="0">
              <x14:cfvo type="autoMin"/>
              <x14:cfvo type="autoMax"/>
              <x14:borderColor rgb="FFFFB628"/>
              <x14:negativeFillColor rgb="FFFF0000"/>
              <x14:negativeBorderColor rgb="FFFF0000"/>
              <x14:axisColor rgb="FF000000"/>
            </x14:dataBar>
          </x14:cfRule>
          <xm:sqref>H23:H25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election activeCell="C12" sqref="C12"/>
    </sheetView>
  </sheetViews>
  <sheetFormatPr defaultColWidth="10.69921875" defaultRowHeight="15.6" x14ac:dyDescent="0.3"/>
  <cols>
    <col min="2" max="2" width="17.5" customWidth="1"/>
    <col min="3" max="3" width="11.296875" customWidth="1"/>
  </cols>
  <sheetData>
    <row r="2" spans="2:10" x14ac:dyDescent="0.3">
      <c r="B2" s="11" t="s">
        <v>29</v>
      </c>
      <c r="C2" s="12" t="s">
        <v>24</v>
      </c>
      <c r="J2" s="18" t="s">
        <v>24</v>
      </c>
    </row>
    <row r="3" spans="2:10" x14ac:dyDescent="0.3">
      <c r="J3" s="18" t="s">
        <v>20</v>
      </c>
    </row>
    <row r="4" spans="2:10" x14ac:dyDescent="0.3">
      <c r="B4" s="28" t="s">
        <v>30</v>
      </c>
      <c r="C4" s="28"/>
      <c r="J4" s="18" t="s">
        <v>21</v>
      </c>
    </row>
    <row r="5" spans="2:10" x14ac:dyDescent="0.3">
      <c r="B5" t="s">
        <v>31</v>
      </c>
      <c r="C5" t="e" vm="12">
        <f>_xlfn.XLOOKUP(C2,Table1[Manager],Table1[Country])</f>
        <v>#VALUE!</v>
      </c>
      <c r="J5" s="18" t="s">
        <v>17</v>
      </c>
    </row>
    <row r="6" spans="2:10" x14ac:dyDescent="0.3">
      <c r="B6" t="s">
        <v>8</v>
      </c>
      <c r="C6" t="e" vm="11">
        <f>_xlfn.XLOOKUP(C2,Table1[Manager],Table1[City])</f>
        <v>#VALUE!</v>
      </c>
      <c r="J6" s="18" t="s">
        <v>19</v>
      </c>
    </row>
    <row r="7" spans="2:10" x14ac:dyDescent="0.3">
      <c r="C7" s="13"/>
    </row>
    <row r="8" spans="2:10" x14ac:dyDescent="0.3">
      <c r="B8" s="28" t="s">
        <v>32</v>
      </c>
      <c r="C8" s="28"/>
    </row>
    <row r="9" spans="2:10" x14ac:dyDescent="0.3">
      <c r="B9" s="14" t="s">
        <v>9</v>
      </c>
      <c r="C9" s="15">
        <f>SUMIFS(Table1[Revenue],Table1[Product],Findings!B9,Table1[Manager],Findings!$C$2)</f>
        <v>34638.25</v>
      </c>
    </row>
    <row r="10" spans="2:10" x14ac:dyDescent="0.3">
      <c r="B10" s="14" t="s">
        <v>12</v>
      </c>
      <c r="C10" s="15">
        <f>SUMIFS(Table1[Revenue],Table1[Product],Findings!B10,Table1[Manager],Findings!$C$2)</f>
        <v>28803.799999999996</v>
      </c>
    </row>
    <row r="11" spans="2:10" x14ac:dyDescent="0.3">
      <c r="B11" s="14" t="s">
        <v>13</v>
      </c>
      <c r="C11" s="15">
        <f>SUMIFS(Table1[Revenue],Table1[Product],Findings!B11,Table1[Manager],Findings!$C$2)</f>
        <v>14041.859999999999</v>
      </c>
    </row>
    <row r="12" spans="2:10" x14ac:dyDescent="0.3">
      <c r="B12" s="14" t="s">
        <v>15</v>
      </c>
      <c r="C12" s="15">
        <f>SUMIFS(Table1[Revenue],Table1[Product],Findings!B12,Table1[Manager],Findings!$C$2)</f>
        <v>101880.57</v>
      </c>
    </row>
    <row r="13" spans="2:10" x14ac:dyDescent="0.3">
      <c r="B13" s="14" t="s">
        <v>18</v>
      </c>
      <c r="C13" s="15">
        <f>SUMIFS(Table1[Revenue],Table1[Product],Findings!B13,Table1[Manager],Findings!$C$2)</f>
        <v>32158.400000000009</v>
      </c>
    </row>
    <row r="14" spans="2:10" x14ac:dyDescent="0.3">
      <c r="B14" s="16" t="s">
        <v>33</v>
      </c>
      <c r="C14" s="17">
        <f>SUM(C9:C13)</f>
        <v>211522.88</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fd4699f-c78e-4021-a56f-12d09d378e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D3AE3FE688D0342A361698C0D959291" ma:contentTypeVersion="10" ma:contentTypeDescription="Creare un nuovo documento." ma:contentTypeScope="" ma:versionID="fbb738df869d1459dd06cf79cec361f1">
  <xsd:schema xmlns:xsd="http://www.w3.org/2001/XMLSchema" xmlns:xs="http://www.w3.org/2001/XMLSchema" xmlns:p="http://schemas.microsoft.com/office/2006/metadata/properties" xmlns:ns3="bfd4699f-c78e-4021-a56f-12d09d378ecc" targetNamespace="http://schemas.microsoft.com/office/2006/metadata/properties" ma:root="true" ma:fieldsID="144973be4f05135f88a0273dbc500091" ns3:_="">
    <xsd:import namespace="bfd4699f-c78e-4021-a56f-12d09d378ec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d4699f-c78e-4021-a56f-12d09d378e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35AEE1-62C1-46FD-BA86-B191282AE83E}">
  <ds:schemaRefs>
    <ds:schemaRef ds:uri="http://schemas.microsoft.com/sharepoint/v3/contenttype/forms"/>
  </ds:schemaRefs>
</ds:datastoreItem>
</file>

<file path=customXml/itemProps2.xml><?xml version="1.0" encoding="utf-8"?>
<ds:datastoreItem xmlns:ds="http://schemas.openxmlformats.org/officeDocument/2006/customXml" ds:itemID="{C37235ED-9B23-4120-B45C-D6B570F47B6A}">
  <ds:schemaRefs>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bfd4699f-c78e-4021-a56f-12d09d378ecc"/>
    <ds:schemaRef ds:uri="http://purl.org/dc/dcmitype/"/>
  </ds:schemaRefs>
</ds:datastoreItem>
</file>

<file path=customXml/itemProps3.xml><?xml version="1.0" encoding="utf-8"?>
<ds:datastoreItem xmlns:ds="http://schemas.openxmlformats.org/officeDocument/2006/customXml" ds:itemID="{CC5B3CC2-2EEC-4732-99D6-090830F1CC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d4699f-c78e-4021-a56f-12d09d378e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Foglio1</vt:lpstr>
      <vt:lpstr>Foglio2</vt:lpstr>
      <vt:lpstr>Raw</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MARIKA SECCI</cp:lastModifiedBy>
  <cp:lastPrinted>2026-08-04T09:01:33Z</cp:lastPrinted>
  <dcterms:created xsi:type="dcterms:W3CDTF">2023-02-14T11:15:23Z</dcterms:created>
  <dcterms:modified xsi:type="dcterms:W3CDTF">2026-08-04T18:26:02Z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0x0101007D3AE3FE688D0342A361698C0D959291</vt:lpwstr>
  </property>
</Properties>
</file>